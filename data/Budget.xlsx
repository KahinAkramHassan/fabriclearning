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Admin UdS\Climber\Konsulter\Rekrytering\Hemmaappen\"/>
    </mc:Choice>
  </mc:AlternateContent>
  <xr:revisionPtr revIDLastSave="0" documentId="13_ncr:1_{40C7CE28-B10A-417D-9CD8-7D0A862E37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udget 2023-2024" sheetId="2" r:id="rId1"/>
    <sheet name="Budget 2022-202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D3" i="3"/>
  <c r="E3" i="3"/>
  <c r="F3" i="3"/>
  <c r="G3" i="3"/>
  <c r="H3" i="3"/>
  <c r="I3" i="3"/>
  <c r="J3" i="3"/>
  <c r="K3" i="3"/>
  <c r="L3" i="3"/>
  <c r="M3" i="3"/>
  <c r="N3" i="3"/>
  <c r="C4" i="3"/>
  <c r="D4" i="3"/>
  <c r="E4" i="3"/>
  <c r="F4" i="3"/>
  <c r="G4" i="3"/>
  <c r="H4" i="3"/>
  <c r="I4" i="3"/>
  <c r="J4" i="3"/>
  <c r="K4" i="3"/>
  <c r="L4" i="3"/>
  <c r="M4" i="3"/>
  <c r="N4" i="3"/>
  <c r="C5" i="3"/>
  <c r="D5" i="3"/>
  <c r="E5" i="3"/>
  <c r="F5" i="3"/>
  <c r="G5" i="3"/>
  <c r="H5" i="3"/>
  <c r="I5" i="3"/>
  <c r="J5" i="3"/>
  <c r="K5" i="3"/>
  <c r="L5" i="3"/>
  <c r="M5" i="3"/>
  <c r="N5" i="3"/>
  <c r="C6" i="3"/>
  <c r="D6" i="3"/>
  <c r="E6" i="3"/>
  <c r="F6" i="3"/>
  <c r="G6" i="3"/>
  <c r="H6" i="3"/>
  <c r="I6" i="3"/>
  <c r="J6" i="3"/>
  <c r="K6" i="3"/>
  <c r="L6" i="3"/>
  <c r="M6" i="3"/>
  <c r="N6" i="3"/>
  <c r="C7" i="3"/>
  <c r="D7" i="3"/>
  <c r="E7" i="3"/>
  <c r="F7" i="3"/>
  <c r="G7" i="3"/>
  <c r="H7" i="3"/>
  <c r="I7" i="3"/>
  <c r="J7" i="3"/>
  <c r="K7" i="3"/>
  <c r="L7" i="3"/>
  <c r="M7" i="3"/>
  <c r="N7" i="3"/>
  <c r="C8" i="3"/>
  <c r="D8" i="3"/>
  <c r="E8" i="3"/>
  <c r="F8" i="3"/>
  <c r="G8" i="3"/>
  <c r="H8" i="3"/>
  <c r="I8" i="3"/>
  <c r="J8" i="3"/>
  <c r="K8" i="3"/>
  <c r="L8" i="3"/>
  <c r="M8" i="3"/>
  <c r="N8" i="3"/>
  <c r="C9" i="3"/>
  <c r="D9" i="3"/>
  <c r="E9" i="3"/>
  <c r="F9" i="3"/>
  <c r="G9" i="3"/>
  <c r="H9" i="3"/>
  <c r="I9" i="3"/>
  <c r="J9" i="3"/>
  <c r="K9" i="3"/>
  <c r="L9" i="3"/>
  <c r="M9" i="3"/>
  <c r="N9" i="3"/>
  <c r="C10" i="3"/>
  <c r="D10" i="3"/>
  <c r="E10" i="3"/>
  <c r="F10" i="3"/>
  <c r="G10" i="3"/>
  <c r="H10" i="3"/>
  <c r="I10" i="3"/>
  <c r="J10" i="3"/>
  <c r="K10" i="3"/>
  <c r="L10" i="3"/>
  <c r="M10" i="3"/>
  <c r="N10" i="3"/>
  <c r="C11" i="3"/>
  <c r="D11" i="3"/>
  <c r="E11" i="3"/>
  <c r="F11" i="3"/>
  <c r="G11" i="3"/>
  <c r="H11" i="3"/>
  <c r="I11" i="3"/>
  <c r="J11" i="3"/>
  <c r="K11" i="3"/>
  <c r="L11" i="3"/>
  <c r="M11" i="3"/>
  <c r="N11" i="3"/>
  <c r="C12" i="3"/>
  <c r="D12" i="3"/>
  <c r="E12" i="3"/>
  <c r="F12" i="3"/>
  <c r="G12" i="3"/>
  <c r="H12" i="3"/>
  <c r="I12" i="3"/>
  <c r="J12" i="3"/>
  <c r="K12" i="3"/>
  <c r="L12" i="3"/>
  <c r="M12" i="3"/>
  <c r="N12" i="3"/>
  <c r="C13" i="3"/>
  <c r="D13" i="3"/>
  <c r="E13" i="3"/>
  <c r="F13" i="3"/>
  <c r="G13" i="3"/>
  <c r="H13" i="3"/>
  <c r="I13" i="3"/>
  <c r="J13" i="3"/>
  <c r="K13" i="3"/>
  <c r="L13" i="3"/>
  <c r="M13" i="3"/>
  <c r="N13" i="3"/>
  <c r="C14" i="3"/>
  <c r="D14" i="3"/>
  <c r="E14" i="3"/>
  <c r="F14" i="3"/>
  <c r="G14" i="3"/>
  <c r="H14" i="3"/>
  <c r="I14" i="3"/>
  <c r="J14" i="3"/>
  <c r="K14" i="3"/>
  <c r="L14" i="3"/>
  <c r="M14" i="3"/>
  <c r="N14" i="3"/>
  <c r="C15" i="3"/>
  <c r="D15" i="3"/>
  <c r="E15" i="3"/>
  <c r="F15" i="3"/>
  <c r="G15" i="3"/>
  <c r="H15" i="3"/>
  <c r="I15" i="3"/>
  <c r="J15" i="3"/>
  <c r="K15" i="3"/>
  <c r="L15" i="3"/>
  <c r="M15" i="3"/>
  <c r="N15" i="3"/>
  <c r="C16" i="3"/>
  <c r="D16" i="3"/>
  <c r="E16" i="3"/>
  <c r="F16" i="3"/>
  <c r="G16" i="3"/>
  <c r="H16" i="3"/>
  <c r="I16" i="3"/>
  <c r="J16" i="3"/>
  <c r="K16" i="3"/>
  <c r="L16" i="3"/>
  <c r="M16" i="3"/>
  <c r="N16" i="3"/>
  <c r="C17" i="3"/>
  <c r="D17" i="3"/>
  <c r="E17" i="3"/>
  <c r="F17" i="3"/>
  <c r="G17" i="3"/>
  <c r="H17" i="3"/>
  <c r="I17" i="3"/>
  <c r="J17" i="3"/>
  <c r="K17" i="3"/>
  <c r="L17" i="3"/>
  <c r="M17" i="3"/>
  <c r="N17" i="3"/>
  <c r="C18" i="3"/>
  <c r="D18" i="3"/>
  <c r="E18" i="3"/>
  <c r="F18" i="3"/>
  <c r="G18" i="3"/>
  <c r="H18" i="3"/>
  <c r="I18" i="3"/>
  <c r="J18" i="3"/>
  <c r="K18" i="3"/>
  <c r="L18" i="3"/>
  <c r="M18" i="3"/>
  <c r="N18" i="3"/>
  <c r="C19" i="3"/>
  <c r="D19" i="3"/>
  <c r="E19" i="3"/>
  <c r="F19" i="3"/>
  <c r="G19" i="3"/>
  <c r="H19" i="3"/>
  <c r="I19" i="3"/>
  <c r="J19" i="3"/>
  <c r="K19" i="3"/>
  <c r="L19" i="3"/>
  <c r="M19" i="3"/>
  <c r="N19" i="3"/>
  <c r="C20" i="3"/>
  <c r="D20" i="3"/>
  <c r="E20" i="3"/>
  <c r="F20" i="3"/>
  <c r="G20" i="3"/>
  <c r="H20" i="3"/>
  <c r="I20" i="3"/>
  <c r="J20" i="3"/>
  <c r="K20" i="3"/>
  <c r="L20" i="3"/>
  <c r="M20" i="3"/>
  <c r="N20" i="3"/>
  <c r="C21" i="3"/>
  <c r="D21" i="3"/>
  <c r="E21" i="3"/>
  <c r="F21" i="3"/>
  <c r="G21" i="3"/>
  <c r="H21" i="3"/>
  <c r="I21" i="3"/>
  <c r="J21" i="3"/>
  <c r="K21" i="3"/>
  <c r="L21" i="3"/>
  <c r="M21" i="3"/>
  <c r="N21" i="3"/>
  <c r="C22" i="3"/>
  <c r="D22" i="3"/>
  <c r="E22" i="3"/>
  <c r="F22" i="3"/>
  <c r="G22" i="3"/>
  <c r="H22" i="3"/>
  <c r="I22" i="3"/>
  <c r="J22" i="3"/>
  <c r="K22" i="3"/>
  <c r="L22" i="3"/>
  <c r="M22" i="3"/>
  <c r="N22" i="3"/>
  <c r="C23" i="3"/>
  <c r="D23" i="3"/>
  <c r="E23" i="3"/>
  <c r="F23" i="3"/>
  <c r="G23" i="3"/>
  <c r="H23" i="3"/>
  <c r="I23" i="3"/>
  <c r="J23" i="3"/>
  <c r="K23" i="3"/>
  <c r="L23" i="3"/>
  <c r="M23" i="3"/>
  <c r="N23" i="3"/>
  <c r="C24" i="3"/>
  <c r="D24" i="3"/>
  <c r="E24" i="3"/>
  <c r="F24" i="3"/>
  <c r="G24" i="3"/>
  <c r="H24" i="3"/>
  <c r="I24" i="3"/>
  <c r="J24" i="3"/>
  <c r="K24" i="3"/>
  <c r="L24" i="3"/>
  <c r="M24" i="3"/>
  <c r="N24" i="3"/>
  <c r="C25" i="3"/>
  <c r="D25" i="3"/>
  <c r="E25" i="3"/>
  <c r="F25" i="3"/>
  <c r="G25" i="3"/>
  <c r="H25" i="3"/>
  <c r="I25" i="3"/>
  <c r="J25" i="3"/>
  <c r="K25" i="3"/>
  <c r="L25" i="3"/>
  <c r="M25" i="3"/>
  <c r="N25" i="3"/>
  <c r="C26" i="3"/>
  <c r="D26" i="3"/>
  <c r="E26" i="3"/>
  <c r="F26" i="3"/>
  <c r="G26" i="3"/>
  <c r="H26" i="3"/>
  <c r="I26" i="3"/>
  <c r="J26" i="3"/>
  <c r="K26" i="3"/>
  <c r="L26" i="3"/>
  <c r="M26" i="3"/>
  <c r="N26" i="3"/>
  <c r="C27" i="3"/>
  <c r="D27" i="3"/>
  <c r="E27" i="3"/>
  <c r="F27" i="3"/>
  <c r="G27" i="3"/>
  <c r="H27" i="3"/>
  <c r="I27" i="3"/>
  <c r="J27" i="3"/>
  <c r="K27" i="3"/>
  <c r="L27" i="3"/>
  <c r="M27" i="3"/>
  <c r="N27" i="3"/>
  <c r="C28" i="3"/>
  <c r="D28" i="3"/>
  <c r="E28" i="3"/>
  <c r="F28" i="3"/>
  <c r="G28" i="3"/>
  <c r="H28" i="3"/>
  <c r="I28" i="3"/>
  <c r="J28" i="3"/>
  <c r="K28" i="3"/>
  <c r="L28" i="3"/>
  <c r="M28" i="3"/>
  <c r="N28" i="3"/>
  <c r="C29" i="3"/>
  <c r="D29" i="3"/>
  <c r="E29" i="3"/>
  <c r="F29" i="3"/>
  <c r="G29" i="3"/>
  <c r="H29" i="3"/>
  <c r="I29" i="3"/>
  <c r="J29" i="3"/>
  <c r="K29" i="3"/>
  <c r="L29" i="3"/>
  <c r="M29" i="3"/>
  <c r="N29" i="3"/>
  <c r="C30" i="3"/>
  <c r="D30" i="3"/>
  <c r="E30" i="3"/>
  <c r="F30" i="3"/>
  <c r="G30" i="3"/>
  <c r="H30" i="3"/>
  <c r="I30" i="3"/>
  <c r="J30" i="3"/>
  <c r="K30" i="3"/>
  <c r="L30" i="3"/>
  <c r="M30" i="3"/>
  <c r="N30" i="3"/>
  <c r="C31" i="3"/>
  <c r="D31" i="3"/>
  <c r="E31" i="3"/>
  <c r="F31" i="3"/>
  <c r="G31" i="3"/>
  <c r="H31" i="3"/>
  <c r="I31" i="3"/>
  <c r="J31" i="3"/>
  <c r="K31" i="3"/>
  <c r="L31" i="3"/>
  <c r="M31" i="3"/>
  <c r="N31" i="3"/>
  <c r="C32" i="3"/>
  <c r="D32" i="3"/>
  <c r="E32" i="3"/>
  <c r="F32" i="3"/>
  <c r="G32" i="3"/>
  <c r="H32" i="3"/>
  <c r="I32" i="3"/>
  <c r="J32" i="3"/>
  <c r="K32" i="3"/>
  <c r="L32" i="3"/>
  <c r="M32" i="3"/>
  <c r="N32" i="3"/>
  <c r="C33" i="3"/>
  <c r="D33" i="3"/>
  <c r="E33" i="3"/>
  <c r="F33" i="3"/>
  <c r="G33" i="3"/>
  <c r="H33" i="3"/>
  <c r="I33" i="3"/>
  <c r="J33" i="3"/>
  <c r="K33" i="3"/>
  <c r="L33" i="3"/>
  <c r="M33" i="3"/>
  <c r="N33" i="3"/>
  <c r="C34" i="3"/>
  <c r="D34" i="3"/>
  <c r="E34" i="3"/>
  <c r="F34" i="3"/>
  <c r="G34" i="3"/>
  <c r="H34" i="3"/>
  <c r="I34" i="3"/>
  <c r="J34" i="3"/>
  <c r="K34" i="3"/>
  <c r="L34" i="3"/>
  <c r="M34" i="3"/>
  <c r="N34" i="3"/>
  <c r="C35" i="3"/>
  <c r="D35" i="3"/>
  <c r="E35" i="3"/>
  <c r="F35" i="3"/>
  <c r="G35" i="3"/>
  <c r="H35" i="3"/>
  <c r="I35" i="3"/>
  <c r="J35" i="3"/>
  <c r="K35" i="3"/>
  <c r="L35" i="3"/>
  <c r="M35" i="3"/>
  <c r="N35" i="3"/>
  <c r="C36" i="3"/>
  <c r="D36" i="3"/>
  <c r="E36" i="3"/>
  <c r="F36" i="3"/>
  <c r="G36" i="3"/>
  <c r="H36" i="3"/>
  <c r="I36" i="3"/>
  <c r="J36" i="3"/>
  <c r="K36" i="3"/>
  <c r="L36" i="3"/>
  <c r="M36" i="3"/>
  <c r="N36" i="3"/>
  <c r="C37" i="3"/>
  <c r="D37" i="3"/>
  <c r="E37" i="3"/>
  <c r="F37" i="3"/>
  <c r="G37" i="3"/>
  <c r="H37" i="3"/>
  <c r="I37" i="3"/>
  <c r="J37" i="3"/>
  <c r="K37" i="3"/>
  <c r="L37" i="3"/>
  <c r="M37" i="3"/>
  <c r="N37" i="3"/>
  <c r="C38" i="3"/>
  <c r="D38" i="3"/>
  <c r="E38" i="3"/>
  <c r="F38" i="3"/>
  <c r="G38" i="3"/>
  <c r="H38" i="3"/>
  <c r="I38" i="3"/>
  <c r="J38" i="3"/>
  <c r="K38" i="3"/>
  <c r="L38" i="3"/>
  <c r="M38" i="3"/>
  <c r="N38" i="3"/>
  <c r="C39" i="3"/>
  <c r="D39" i="3"/>
  <c r="E39" i="3"/>
  <c r="F39" i="3"/>
  <c r="G39" i="3"/>
  <c r="H39" i="3"/>
  <c r="I39" i="3"/>
  <c r="J39" i="3"/>
  <c r="K39" i="3"/>
  <c r="L39" i="3"/>
  <c r="M39" i="3"/>
  <c r="N39" i="3"/>
  <c r="C40" i="3"/>
  <c r="D40" i="3"/>
  <c r="E40" i="3"/>
  <c r="F40" i="3"/>
  <c r="G40" i="3"/>
  <c r="H40" i="3"/>
  <c r="I40" i="3"/>
  <c r="J40" i="3"/>
  <c r="K40" i="3"/>
  <c r="L40" i="3"/>
  <c r="M40" i="3"/>
  <c r="N40" i="3"/>
  <c r="C41" i="3"/>
  <c r="D41" i="3"/>
  <c r="E41" i="3"/>
  <c r="F41" i="3"/>
  <c r="G41" i="3"/>
  <c r="H41" i="3"/>
  <c r="I41" i="3"/>
  <c r="J41" i="3"/>
  <c r="K41" i="3"/>
  <c r="L41" i="3"/>
  <c r="M41" i="3"/>
  <c r="N41" i="3"/>
  <c r="C42" i="3"/>
  <c r="D42" i="3"/>
  <c r="E42" i="3"/>
  <c r="F42" i="3"/>
  <c r="G42" i="3"/>
  <c r="H42" i="3"/>
  <c r="I42" i="3"/>
  <c r="J42" i="3"/>
  <c r="K42" i="3"/>
  <c r="L42" i="3"/>
  <c r="M42" i="3"/>
  <c r="N42" i="3"/>
  <c r="C43" i="3"/>
  <c r="D43" i="3"/>
  <c r="E43" i="3"/>
  <c r="F43" i="3"/>
  <c r="G43" i="3"/>
  <c r="H43" i="3"/>
  <c r="I43" i="3"/>
  <c r="J43" i="3"/>
  <c r="K43" i="3"/>
  <c r="L43" i="3"/>
  <c r="M43" i="3"/>
  <c r="N43" i="3"/>
  <c r="C44" i="3"/>
  <c r="D44" i="3"/>
  <c r="E44" i="3"/>
  <c r="F44" i="3"/>
  <c r="G44" i="3"/>
  <c r="H44" i="3"/>
  <c r="I44" i="3"/>
  <c r="J44" i="3"/>
  <c r="K44" i="3"/>
  <c r="L44" i="3"/>
  <c r="M44" i="3"/>
  <c r="N44" i="3"/>
  <c r="C45" i="3"/>
  <c r="D45" i="3"/>
  <c r="E45" i="3"/>
  <c r="F45" i="3"/>
  <c r="G45" i="3"/>
  <c r="H45" i="3"/>
  <c r="I45" i="3"/>
  <c r="J45" i="3"/>
  <c r="K45" i="3"/>
  <c r="L45" i="3"/>
  <c r="M45" i="3"/>
  <c r="N45" i="3"/>
  <c r="C46" i="3"/>
  <c r="D46" i="3"/>
  <c r="E46" i="3"/>
  <c r="F46" i="3"/>
  <c r="G46" i="3"/>
  <c r="H46" i="3"/>
  <c r="I46" i="3"/>
  <c r="J46" i="3"/>
  <c r="K46" i="3"/>
  <c r="L46" i="3"/>
  <c r="M46" i="3"/>
  <c r="N46" i="3"/>
  <c r="C47" i="3"/>
  <c r="D47" i="3"/>
  <c r="E47" i="3"/>
  <c r="F47" i="3"/>
  <c r="G47" i="3"/>
  <c r="H47" i="3"/>
  <c r="I47" i="3"/>
  <c r="J47" i="3"/>
  <c r="K47" i="3"/>
  <c r="L47" i="3"/>
  <c r="M47" i="3"/>
  <c r="N47" i="3"/>
  <c r="C48" i="3"/>
  <c r="D48" i="3"/>
  <c r="E48" i="3"/>
  <c r="F48" i="3"/>
  <c r="G48" i="3"/>
  <c r="H48" i="3"/>
  <c r="I48" i="3"/>
  <c r="J48" i="3"/>
  <c r="K48" i="3"/>
  <c r="L48" i="3"/>
  <c r="M48" i="3"/>
  <c r="N48" i="3"/>
  <c r="C49" i="3"/>
  <c r="D49" i="3"/>
  <c r="E49" i="3"/>
  <c r="F49" i="3"/>
  <c r="G49" i="3"/>
  <c r="H49" i="3"/>
  <c r="I49" i="3"/>
  <c r="J49" i="3"/>
  <c r="K49" i="3"/>
  <c r="L49" i="3"/>
  <c r="M49" i="3"/>
  <c r="N49" i="3"/>
  <c r="C50" i="3"/>
  <c r="D50" i="3"/>
  <c r="E50" i="3"/>
  <c r="F50" i="3"/>
  <c r="G50" i="3"/>
  <c r="H50" i="3"/>
  <c r="I50" i="3"/>
  <c r="J50" i="3"/>
  <c r="K50" i="3"/>
  <c r="L50" i="3"/>
  <c r="M50" i="3"/>
  <c r="N50" i="3"/>
  <c r="C51" i="3"/>
  <c r="D51" i="3"/>
  <c r="E51" i="3"/>
  <c r="F51" i="3"/>
  <c r="G51" i="3"/>
  <c r="H51" i="3"/>
  <c r="I51" i="3"/>
  <c r="J51" i="3"/>
  <c r="K51" i="3"/>
  <c r="L51" i="3"/>
  <c r="M51" i="3"/>
  <c r="N51" i="3"/>
  <c r="C52" i="3"/>
  <c r="D52" i="3"/>
  <c r="E52" i="3"/>
  <c r="F52" i="3"/>
  <c r="G52" i="3"/>
  <c r="H52" i="3"/>
  <c r="I52" i="3"/>
  <c r="J52" i="3"/>
  <c r="K52" i="3"/>
  <c r="L52" i="3"/>
  <c r="M52" i="3"/>
  <c r="N52" i="3"/>
  <c r="C53" i="3"/>
  <c r="D53" i="3"/>
  <c r="E53" i="3"/>
  <c r="F53" i="3"/>
  <c r="G53" i="3"/>
  <c r="H53" i="3"/>
  <c r="I53" i="3"/>
  <c r="J53" i="3"/>
  <c r="K53" i="3"/>
  <c r="L53" i="3"/>
  <c r="M53" i="3"/>
  <c r="N53" i="3"/>
  <c r="C54" i="3"/>
  <c r="D54" i="3"/>
  <c r="E54" i="3"/>
  <c r="F54" i="3"/>
  <c r="G54" i="3"/>
  <c r="H54" i="3"/>
  <c r="I54" i="3"/>
  <c r="J54" i="3"/>
  <c r="K54" i="3"/>
  <c r="L54" i="3"/>
  <c r="M54" i="3"/>
  <c r="N54" i="3"/>
  <c r="C55" i="3"/>
  <c r="D55" i="3"/>
  <c r="E55" i="3"/>
  <c r="F55" i="3"/>
  <c r="G55" i="3"/>
  <c r="H55" i="3"/>
  <c r="I55" i="3"/>
  <c r="J55" i="3"/>
  <c r="K55" i="3"/>
  <c r="L55" i="3"/>
  <c r="M55" i="3"/>
  <c r="N55" i="3"/>
  <c r="C56" i="3"/>
  <c r="D56" i="3"/>
  <c r="E56" i="3"/>
  <c r="F56" i="3"/>
  <c r="G56" i="3"/>
  <c r="H56" i="3"/>
  <c r="I56" i="3"/>
  <c r="J56" i="3"/>
  <c r="K56" i="3"/>
  <c r="L56" i="3"/>
  <c r="M56" i="3"/>
  <c r="N56" i="3"/>
  <c r="C57" i="3"/>
  <c r="D57" i="3"/>
  <c r="E57" i="3"/>
  <c r="F57" i="3"/>
  <c r="G57" i="3"/>
  <c r="H57" i="3"/>
  <c r="I57" i="3"/>
  <c r="J57" i="3"/>
  <c r="K57" i="3"/>
  <c r="L57" i="3"/>
  <c r="M57" i="3"/>
  <c r="N57" i="3"/>
  <c r="C58" i="3"/>
  <c r="D58" i="3"/>
  <c r="E58" i="3"/>
  <c r="F58" i="3"/>
  <c r="G58" i="3"/>
  <c r="H58" i="3"/>
  <c r="I58" i="3"/>
  <c r="J58" i="3"/>
  <c r="K58" i="3"/>
  <c r="L58" i="3"/>
  <c r="M58" i="3"/>
  <c r="N58" i="3"/>
  <c r="C59" i="3"/>
  <c r="D59" i="3"/>
  <c r="E59" i="3"/>
  <c r="F59" i="3"/>
  <c r="G59" i="3"/>
  <c r="H59" i="3"/>
  <c r="I59" i="3"/>
  <c r="J59" i="3"/>
  <c r="K59" i="3"/>
  <c r="L59" i="3"/>
  <c r="M59" i="3"/>
  <c r="N59" i="3"/>
  <c r="C60" i="3"/>
  <c r="D60" i="3"/>
  <c r="E60" i="3"/>
  <c r="F60" i="3"/>
  <c r="G60" i="3"/>
  <c r="H60" i="3"/>
  <c r="I60" i="3"/>
  <c r="J60" i="3"/>
  <c r="K60" i="3"/>
  <c r="L60" i="3"/>
  <c r="M60" i="3"/>
  <c r="N60" i="3"/>
  <c r="C61" i="3"/>
  <c r="D61" i="3"/>
  <c r="E61" i="3"/>
  <c r="F61" i="3"/>
  <c r="G61" i="3"/>
  <c r="H61" i="3"/>
  <c r="I61" i="3"/>
  <c r="J61" i="3"/>
  <c r="K61" i="3"/>
  <c r="L61" i="3"/>
  <c r="M61" i="3"/>
  <c r="N61" i="3"/>
  <c r="C62" i="3"/>
  <c r="D62" i="3"/>
  <c r="E62" i="3"/>
  <c r="F62" i="3"/>
  <c r="G62" i="3"/>
  <c r="H62" i="3"/>
  <c r="I62" i="3"/>
  <c r="J62" i="3"/>
  <c r="K62" i="3"/>
  <c r="L62" i="3"/>
  <c r="M62" i="3"/>
  <c r="N62" i="3"/>
  <c r="C63" i="3"/>
  <c r="D63" i="3"/>
  <c r="E63" i="3"/>
  <c r="F63" i="3"/>
  <c r="G63" i="3"/>
  <c r="H63" i="3"/>
  <c r="I63" i="3"/>
  <c r="J63" i="3"/>
  <c r="K63" i="3"/>
  <c r="L63" i="3"/>
  <c r="M63" i="3"/>
  <c r="N63" i="3"/>
  <c r="C64" i="3"/>
  <c r="D64" i="3"/>
  <c r="E64" i="3"/>
  <c r="F64" i="3"/>
  <c r="G64" i="3"/>
  <c r="H64" i="3"/>
  <c r="I64" i="3"/>
  <c r="J64" i="3"/>
  <c r="K64" i="3"/>
  <c r="L64" i="3"/>
  <c r="M64" i="3"/>
  <c r="N64" i="3"/>
  <c r="C65" i="3"/>
  <c r="D65" i="3"/>
  <c r="E65" i="3"/>
  <c r="F65" i="3"/>
  <c r="G65" i="3"/>
  <c r="H65" i="3"/>
  <c r="I65" i="3"/>
  <c r="J65" i="3"/>
  <c r="K65" i="3"/>
  <c r="L65" i="3"/>
  <c r="M65" i="3"/>
  <c r="N65" i="3"/>
  <c r="C66" i="3"/>
  <c r="D66" i="3"/>
  <c r="E66" i="3"/>
  <c r="F66" i="3"/>
  <c r="G66" i="3"/>
  <c r="H66" i="3"/>
  <c r="I66" i="3"/>
  <c r="J66" i="3"/>
  <c r="K66" i="3"/>
  <c r="L66" i="3"/>
  <c r="M66" i="3"/>
  <c r="N66" i="3"/>
  <c r="C67" i="3"/>
  <c r="D67" i="3"/>
  <c r="E67" i="3"/>
  <c r="F67" i="3"/>
  <c r="G67" i="3"/>
  <c r="H67" i="3"/>
  <c r="I67" i="3"/>
  <c r="J67" i="3"/>
  <c r="K67" i="3"/>
  <c r="L67" i="3"/>
  <c r="M67" i="3"/>
  <c r="N67" i="3"/>
  <c r="C68" i="3"/>
  <c r="D68" i="3"/>
  <c r="E68" i="3"/>
  <c r="F68" i="3"/>
  <c r="G68" i="3"/>
  <c r="H68" i="3"/>
  <c r="I68" i="3"/>
  <c r="J68" i="3"/>
  <c r="K68" i="3"/>
  <c r="L68" i="3"/>
  <c r="M68" i="3"/>
  <c r="N68" i="3"/>
  <c r="C69" i="3"/>
  <c r="D69" i="3"/>
  <c r="E69" i="3"/>
  <c r="F69" i="3"/>
  <c r="G69" i="3"/>
  <c r="H69" i="3"/>
  <c r="I69" i="3"/>
  <c r="J69" i="3"/>
  <c r="K69" i="3"/>
  <c r="L69" i="3"/>
  <c r="M69" i="3"/>
  <c r="N69" i="3"/>
  <c r="C70" i="3"/>
  <c r="D70" i="3"/>
  <c r="E70" i="3"/>
  <c r="F70" i="3"/>
  <c r="G70" i="3"/>
  <c r="H70" i="3"/>
  <c r="I70" i="3"/>
  <c r="J70" i="3"/>
  <c r="K70" i="3"/>
  <c r="L70" i="3"/>
  <c r="M70" i="3"/>
  <c r="N70" i="3"/>
  <c r="C71" i="3"/>
  <c r="D71" i="3"/>
  <c r="E71" i="3"/>
  <c r="F71" i="3"/>
  <c r="G71" i="3"/>
  <c r="H71" i="3"/>
  <c r="I71" i="3"/>
  <c r="J71" i="3"/>
  <c r="K71" i="3"/>
  <c r="L71" i="3"/>
  <c r="M71" i="3"/>
  <c r="N71" i="3"/>
  <c r="C72" i="3"/>
  <c r="D72" i="3"/>
  <c r="E72" i="3"/>
  <c r="F72" i="3"/>
  <c r="G72" i="3"/>
  <c r="H72" i="3"/>
  <c r="I72" i="3"/>
  <c r="J72" i="3"/>
  <c r="K72" i="3"/>
  <c r="L72" i="3"/>
  <c r="M72" i="3"/>
  <c r="N72" i="3"/>
  <c r="C73" i="3"/>
  <c r="D73" i="3"/>
  <c r="E73" i="3"/>
  <c r="F73" i="3"/>
  <c r="G73" i="3"/>
  <c r="H73" i="3"/>
  <c r="I73" i="3"/>
  <c r="J73" i="3"/>
  <c r="K73" i="3"/>
  <c r="L73" i="3"/>
  <c r="M73" i="3"/>
  <c r="N73" i="3"/>
  <c r="C74" i="3"/>
  <c r="D74" i="3"/>
  <c r="E74" i="3"/>
  <c r="F74" i="3"/>
  <c r="G74" i="3"/>
  <c r="H74" i="3"/>
  <c r="I74" i="3"/>
  <c r="J74" i="3"/>
  <c r="K74" i="3"/>
  <c r="L74" i="3"/>
  <c r="M74" i="3"/>
  <c r="N74" i="3"/>
  <c r="C75" i="3"/>
  <c r="D75" i="3"/>
  <c r="E75" i="3"/>
  <c r="F75" i="3"/>
  <c r="G75" i="3"/>
  <c r="H75" i="3"/>
  <c r="I75" i="3"/>
  <c r="J75" i="3"/>
  <c r="K75" i="3"/>
  <c r="L75" i="3"/>
  <c r="M75" i="3"/>
  <c r="N75" i="3"/>
  <c r="C76" i="3"/>
  <c r="D76" i="3"/>
  <c r="E76" i="3"/>
  <c r="F76" i="3"/>
  <c r="G76" i="3"/>
  <c r="H76" i="3"/>
  <c r="I76" i="3"/>
  <c r="J76" i="3"/>
  <c r="K76" i="3"/>
  <c r="L76" i="3"/>
  <c r="M76" i="3"/>
  <c r="N76" i="3"/>
  <c r="C77" i="3"/>
  <c r="D77" i="3"/>
  <c r="E77" i="3"/>
  <c r="F77" i="3"/>
  <c r="G77" i="3"/>
  <c r="H77" i="3"/>
  <c r="I77" i="3"/>
  <c r="J77" i="3"/>
  <c r="K77" i="3"/>
  <c r="L77" i="3"/>
  <c r="M77" i="3"/>
  <c r="N77" i="3"/>
  <c r="C78" i="3"/>
  <c r="D78" i="3"/>
  <c r="E78" i="3"/>
  <c r="F78" i="3"/>
  <c r="G78" i="3"/>
  <c r="H78" i="3"/>
  <c r="I78" i="3"/>
  <c r="J78" i="3"/>
  <c r="K78" i="3"/>
  <c r="L78" i="3"/>
  <c r="M78" i="3"/>
  <c r="N78" i="3"/>
  <c r="D2" i="3"/>
  <c r="E2" i="3"/>
  <c r="F2" i="3"/>
  <c r="G2" i="3"/>
  <c r="H2" i="3"/>
  <c r="I2" i="3"/>
  <c r="J2" i="3"/>
  <c r="K2" i="3"/>
  <c r="L2" i="3"/>
  <c r="M2" i="3"/>
  <c r="N2" i="3"/>
  <c r="C2" i="3"/>
</calcChain>
</file>

<file path=xl/sharedStrings.xml><?xml version="1.0" encoding="utf-8"?>
<sst xmlns="http://schemas.openxmlformats.org/spreadsheetml/2006/main" count="170" uniqueCount="91">
  <si>
    <t>Alice Mutton</t>
  </si>
  <si>
    <t>Aniseed Syrup</t>
  </si>
  <si>
    <t>Boston Crab Meat</t>
  </si>
  <si>
    <t>Camembert Pierrot</t>
  </si>
  <si>
    <t>Carnarvon Tigers</t>
  </si>
  <si>
    <t>Chai</t>
  </si>
  <si>
    <t>Chang</t>
  </si>
  <si>
    <t>Chartreuse verte</t>
  </si>
  <si>
    <t>Chef Anton's Cajun Seasoning</t>
  </si>
  <si>
    <t>Chef Anton's Gumbo Mix</t>
  </si>
  <si>
    <t>Chocolade</t>
  </si>
  <si>
    <t>Côte de Blaye</t>
  </si>
  <si>
    <t>Escargots de Bourgogne</t>
  </si>
  <si>
    <t>Filo Mix</t>
  </si>
  <si>
    <t>Fløtemysost</t>
  </si>
  <si>
    <t>Geitost</t>
  </si>
  <si>
    <t>Genen Shouyu</t>
  </si>
  <si>
    <t>Gnocchi di nonna Alice</t>
  </si>
  <si>
    <t>Gorgonzola Telino</t>
  </si>
  <si>
    <t>Grandma's Boysenberry Spread</t>
  </si>
  <si>
    <t>Gravad lax</t>
  </si>
  <si>
    <t>Guaraná Fantástica</t>
  </si>
  <si>
    <t>Gudbrandsdalsost</t>
  </si>
  <si>
    <t>Gula Malacca</t>
  </si>
  <si>
    <t>Gumbär Gummibärchen</t>
  </si>
  <si>
    <t>Gustaf's Knäckebröd</t>
  </si>
  <si>
    <t>Ikura</t>
  </si>
  <si>
    <t>Inlagd Sill</t>
  </si>
  <si>
    <t>Ipoh Coffee</t>
  </si>
  <si>
    <t>Jack's New England Clam Chowder</t>
  </si>
  <si>
    <t>Konbu</t>
  </si>
  <si>
    <t>Lakkalikööri</t>
  </si>
  <si>
    <t>Laughing Lumberjack Lager</t>
  </si>
  <si>
    <t>Longlife Tofu</t>
  </si>
  <si>
    <t>Louisiana Fiery Hot Pepper Sauce</t>
  </si>
  <si>
    <t>Louisiana Hot Spiced Okra</t>
  </si>
  <si>
    <t>Manjimup Dried Apples</t>
  </si>
  <si>
    <t>Mascarpone Fabioli</t>
  </si>
  <si>
    <t>Maxilaku</t>
  </si>
  <si>
    <t>Mishi Kobe Niku</t>
  </si>
  <si>
    <t>Mozzarella di Giovanni</t>
  </si>
  <si>
    <t>Nord-Ost Matjeshering</t>
  </si>
  <si>
    <t>Northwoods Cranberry Sauce</t>
  </si>
  <si>
    <t>NuNuCa Nuß-Nougat-Creme</t>
  </si>
  <si>
    <t>Original Frankfurter grüne Soße</t>
  </si>
  <si>
    <t>Outback Lager</t>
  </si>
  <si>
    <t>Pâté chinois</t>
  </si>
  <si>
    <t>Pavlova</t>
  </si>
  <si>
    <t>Perth Pasties</t>
  </si>
  <si>
    <t>Queso Cabrales</t>
  </si>
  <si>
    <t>Queso Manchego La Pastora</t>
  </si>
  <si>
    <t>Raclette Courdavault</t>
  </si>
  <si>
    <t>Ravioli Angelo</t>
  </si>
  <si>
    <t>Rhönbräu Klosterbier</t>
  </si>
  <si>
    <t>Röd Kaviar</t>
  </si>
  <si>
    <t>Røgede sild</t>
  </si>
  <si>
    <t>Rössle Sauerkraut</t>
  </si>
  <si>
    <t>Sasquatch Ale</t>
  </si>
  <si>
    <t>Schoggi Schokolade</t>
  </si>
  <si>
    <t>Scottish Longbreads</t>
  </si>
  <si>
    <t>Singaporean Hokkien Fried Mee</t>
  </si>
  <si>
    <t>Sir Rodney's Marmalade</t>
  </si>
  <si>
    <t>Sir Rodney's Scones</t>
  </si>
  <si>
    <t>Sirop d'érable</t>
  </si>
  <si>
    <t>Spegesild</t>
  </si>
  <si>
    <t>Steeleye Stout</t>
  </si>
  <si>
    <t>Tarte au sucre</t>
  </si>
  <si>
    <t>Teatime Chocolate Biscuits</t>
  </si>
  <si>
    <t>Thüringer Rostbratwurst</t>
  </si>
  <si>
    <t>Tofu</t>
  </si>
  <si>
    <t>Tourtière</t>
  </si>
  <si>
    <t>Tunnbröd</t>
  </si>
  <si>
    <t>Uncle Bob's Organic Dried Pears</t>
  </si>
  <si>
    <t>Valkoinen suklaa</t>
  </si>
  <si>
    <t>Vegie-spread</t>
  </si>
  <si>
    <t>Wimmers gute Semmelknödel</t>
  </si>
  <si>
    <t>Zaanse koeken</t>
  </si>
  <si>
    <t>Product Number</t>
  </si>
  <si>
    <t>Product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</si>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</sst>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021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/>
    <xf numFmtId="164" fontId="0" fillId="0" borderId="0" xfId="0" applyNumberFormat="1"/>
    <xf numFmtId="49" fontId="1" fillId="2" borderId="1" xfId="0" applyNumberFormat="1" applyFont="1" applyFill="1" applyBorder="1"/>
    <xf numFmtId="0" fontId="3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008E-0129-4545-A4C3-E6738FE39D2F}">
  <dimension ref="A1:N78"/>
  <sheetViews>
    <sheetView tabSelected="1" workbookViewId="0">
      <selection activeCell="Q15" sqref="Q15"/>
    </sheetView>
  </sheetViews>
  <sheetFormatPr defaultRowHeight="14.4" x14ac:dyDescent="0.3"/>
  <cols>
    <col min="1" max="1" width="29.5546875" bestFit="1" customWidth="1"/>
    <col min="2" max="2" width="16.6640625" customWidth="1"/>
    <col min="3" max="5" width="11" bestFit="1" customWidth="1"/>
    <col min="6" max="6" width="10" bestFit="1" customWidth="1"/>
    <col min="7" max="10" width="11" bestFit="1" customWidth="1"/>
    <col min="11" max="11" width="10" bestFit="1" customWidth="1"/>
    <col min="12" max="12" width="12" bestFit="1" customWidth="1"/>
    <col min="13" max="14" width="11" bestFit="1" customWidth="1"/>
  </cols>
  <sheetData>
    <row r="1" spans="1:14" x14ac:dyDescent="0.3">
      <c r="A1" s="2" t="s">
        <v>78</v>
      </c>
      <c r="B1" s="2" t="s">
        <v>77</v>
      </c>
      <c r="C1" s="4">
        <v>202307</v>
      </c>
      <c r="D1" s="4">
        <v>202308</v>
      </c>
      <c r="E1" s="4">
        <v>202309</v>
      </c>
      <c r="F1" s="4">
        <v>202310</v>
      </c>
      <c r="G1" s="4">
        <v>202311</v>
      </c>
      <c r="H1" s="4">
        <v>202312</v>
      </c>
      <c r="I1" s="4">
        <v>202401</v>
      </c>
      <c r="J1" s="4">
        <v>202402</v>
      </c>
      <c r="K1" s="4">
        <v>202403</v>
      </c>
      <c r="L1" s="4">
        <v>202404</v>
      </c>
      <c r="M1" s="2">
        <v>202405</v>
      </c>
      <c r="N1" s="2">
        <v>202406</v>
      </c>
    </row>
    <row r="2" spans="1:14" x14ac:dyDescent="0.3">
      <c r="A2" s="1" t="s">
        <v>0</v>
      </c>
      <c r="B2" s="3">
        <v>17</v>
      </c>
      <c r="C2">
        <v>34320</v>
      </c>
      <c r="E2">
        <v>10296</v>
      </c>
      <c r="F2">
        <v>18876</v>
      </c>
      <c r="G2">
        <v>6864.0000000000009</v>
      </c>
      <c r="H2">
        <v>40772.160000000011</v>
      </c>
      <c r="I2">
        <v>16473.600000000002</v>
      </c>
      <c r="J2">
        <v>18189.600000000002</v>
      </c>
      <c r="K2">
        <v>9266.4000000000015</v>
      </c>
      <c r="L2">
        <v>4118.4000000000005</v>
      </c>
      <c r="M2">
        <v>26426.400000000001</v>
      </c>
      <c r="N2">
        <v>37752</v>
      </c>
    </row>
    <row r="3" spans="1:14" x14ac:dyDescent="0.3">
      <c r="A3" s="1" t="s">
        <v>1</v>
      </c>
      <c r="B3" s="3">
        <v>3</v>
      </c>
      <c r="C3">
        <v>1232</v>
      </c>
      <c r="F3">
        <v>528</v>
      </c>
      <c r="G3">
        <v>1760.0000000000002</v>
      </c>
      <c r="H3">
        <v>1760.0000000000002</v>
      </c>
      <c r="I3">
        <v>6952.0000000000009</v>
      </c>
      <c r="L3">
        <v>2200</v>
      </c>
      <c r="M3">
        <v>352</v>
      </c>
      <c r="N3">
        <v>1355.2</v>
      </c>
    </row>
    <row r="4" spans="1:14" x14ac:dyDescent="0.3">
      <c r="A4" s="1" t="s">
        <v>2</v>
      </c>
      <c r="B4" s="3">
        <v>40</v>
      </c>
      <c r="C4">
        <v>6800.64</v>
      </c>
      <c r="D4">
        <v>9715.2000000000007</v>
      </c>
      <c r="E4">
        <v>23316.48</v>
      </c>
      <c r="G4">
        <v>16030.08</v>
      </c>
      <c r="H4">
        <v>161.91999999999999</v>
      </c>
      <c r="I4">
        <v>18620.800000000003</v>
      </c>
      <c r="J4">
        <v>16677.760000000002</v>
      </c>
      <c r="K4">
        <v>4857.6000000000004</v>
      </c>
      <c r="L4">
        <v>8905.6</v>
      </c>
      <c r="N4">
        <v>7480.7040000000006</v>
      </c>
    </row>
    <row r="5" spans="1:14" x14ac:dyDescent="0.3">
      <c r="A5" s="1" t="s">
        <v>3</v>
      </c>
      <c r="B5" s="3">
        <v>60</v>
      </c>
      <c r="C5">
        <v>37400</v>
      </c>
      <c r="D5">
        <v>8976</v>
      </c>
      <c r="E5">
        <v>40392</v>
      </c>
      <c r="F5">
        <v>2992.0000000000005</v>
      </c>
      <c r="G5">
        <v>19448</v>
      </c>
      <c r="H5">
        <v>4488</v>
      </c>
      <c r="I5">
        <v>46675.200000000004</v>
      </c>
      <c r="J5">
        <v>29920.000000000004</v>
      </c>
      <c r="K5">
        <v>32912</v>
      </c>
      <c r="L5">
        <v>52060.800000000003</v>
      </c>
      <c r="M5">
        <v>598.40000000000009</v>
      </c>
      <c r="N5">
        <v>41140</v>
      </c>
    </row>
    <row r="6" spans="1:14" x14ac:dyDescent="0.3">
      <c r="A6" s="1" t="s">
        <v>4</v>
      </c>
      <c r="B6" s="3">
        <v>18</v>
      </c>
      <c r="C6">
        <v>22000</v>
      </c>
      <c r="D6">
        <v>45100.000000000007</v>
      </c>
      <c r="F6">
        <v>6600.0000000000009</v>
      </c>
      <c r="G6">
        <v>24750.000000000004</v>
      </c>
      <c r="H6">
        <v>16500</v>
      </c>
      <c r="I6">
        <v>30250.000000000004</v>
      </c>
      <c r="J6">
        <v>13750.000000000002</v>
      </c>
      <c r="K6">
        <v>9900</v>
      </c>
      <c r="L6">
        <v>29150.000000000004</v>
      </c>
      <c r="N6">
        <v>24200.000000000004</v>
      </c>
    </row>
    <row r="7" spans="1:14" x14ac:dyDescent="0.3">
      <c r="A7" s="1" t="s">
        <v>5</v>
      </c>
      <c r="B7" s="3">
        <v>1</v>
      </c>
      <c r="C7">
        <v>4593.6000000000004</v>
      </c>
      <c r="D7">
        <v>6336.0000000000009</v>
      </c>
      <c r="F7">
        <v>11088</v>
      </c>
      <c r="G7">
        <v>9187.2000000000007</v>
      </c>
      <c r="I7">
        <v>13305.6</v>
      </c>
      <c r="J7">
        <v>14256.000000000002</v>
      </c>
      <c r="K7">
        <v>12830.400000000001</v>
      </c>
      <c r="L7">
        <v>16473.600000000002</v>
      </c>
      <c r="M7">
        <v>6336.0000000000009</v>
      </c>
      <c r="N7">
        <v>5052.9600000000009</v>
      </c>
    </row>
    <row r="8" spans="1:14" x14ac:dyDescent="0.3">
      <c r="A8" s="1" t="s">
        <v>6</v>
      </c>
      <c r="B8" s="3">
        <v>2</v>
      </c>
      <c r="C8">
        <v>1672.0000000000002</v>
      </c>
      <c r="D8">
        <v>16720</v>
      </c>
      <c r="F8">
        <v>6353.6</v>
      </c>
      <c r="G8">
        <v>2508</v>
      </c>
      <c r="H8">
        <v>14212.000000000002</v>
      </c>
      <c r="I8">
        <v>10366.400000000001</v>
      </c>
      <c r="J8">
        <v>10199.200000000001</v>
      </c>
      <c r="K8">
        <v>1672.0000000000002</v>
      </c>
      <c r="L8">
        <v>33607.200000000004</v>
      </c>
      <c r="M8">
        <v>10366.400000000001</v>
      </c>
      <c r="N8">
        <v>1839.2000000000005</v>
      </c>
    </row>
    <row r="9" spans="1:14" x14ac:dyDescent="0.3">
      <c r="A9" s="1" t="s">
        <v>7</v>
      </c>
      <c r="B9" s="3">
        <v>39</v>
      </c>
      <c r="C9">
        <v>792.00000000000011</v>
      </c>
      <c r="D9">
        <v>3168.0000000000005</v>
      </c>
      <c r="E9">
        <v>3643.2000000000003</v>
      </c>
      <c r="H9">
        <v>23443.200000000001</v>
      </c>
      <c r="I9">
        <v>9345.6</v>
      </c>
      <c r="J9">
        <v>21067.200000000001</v>
      </c>
      <c r="K9">
        <v>4752</v>
      </c>
      <c r="M9">
        <v>3484.8</v>
      </c>
      <c r="N9">
        <v>871.20000000000016</v>
      </c>
    </row>
    <row r="10" spans="1:14" x14ac:dyDescent="0.3">
      <c r="A10" s="1" t="s">
        <v>8</v>
      </c>
      <c r="B10" s="3">
        <v>4</v>
      </c>
      <c r="C10">
        <v>3872.0000000000005</v>
      </c>
      <c r="D10">
        <v>6776.0000000000009</v>
      </c>
      <c r="E10">
        <v>2323.2000000000003</v>
      </c>
      <c r="F10">
        <v>1161.6000000000001</v>
      </c>
      <c r="G10">
        <v>4840</v>
      </c>
      <c r="I10">
        <v>4065.6000000000004</v>
      </c>
      <c r="J10">
        <v>5808.0000000000009</v>
      </c>
      <c r="K10">
        <v>968.00000000000011</v>
      </c>
      <c r="L10">
        <v>4840</v>
      </c>
      <c r="M10">
        <v>193.60000000000002</v>
      </c>
      <c r="N10">
        <v>4259.2000000000007</v>
      </c>
    </row>
    <row r="11" spans="1:14" x14ac:dyDescent="0.3">
      <c r="A11" s="1" t="s">
        <v>9</v>
      </c>
      <c r="B11" s="3">
        <v>5</v>
      </c>
      <c r="D11">
        <v>2818.2000000000003</v>
      </c>
      <c r="F11">
        <v>751.5200000000001</v>
      </c>
      <c r="I11">
        <v>5636.4000000000005</v>
      </c>
      <c r="K11">
        <v>3757.6000000000004</v>
      </c>
      <c r="L11">
        <v>18788</v>
      </c>
      <c r="N11">
        <v>0</v>
      </c>
    </row>
    <row r="12" spans="1:14" x14ac:dyDescent="0.3">
      <c r="A12" s="1" t="s">
        <v>10</v>
      </c>
      <c r="B12" s="3">
        <v>48</v>
      </c>
      <c r="C12">
        <v>673.2</v>
      </c>
      <c r="F12">
        <v>2692.8</v>
      </c>
      <c r="I12">
        <v>897.6</v>
      </c>
      <c r="N12">
        <v>740.5200000000001</v>
      </c>
    </row>
    <row r="13" spans="1:14" x14ac:dyDescent="0.3">
      <c r="A13" s="1" t="s">
        <v>11</v>
      </c>
      <c r="B13" s="3">
        <v>38</v>
      </c>
      <c r="C13">
        <v>34782</v>
      </c>
      <c r="E13">
        <v>34782</v>
      </c>
      <c r="H13">
        <v>34782</v>
      </c>
      <c r="I13">
        <v>162316</v>
      </c>
      <c r="J13">
        <v>231880.00000000003</v>
      </c>
      <c r="K13">
        <v>150722</v>
      </c>
      <c r="L13">
        <v>57970.000000000007</v>
      </c>
      <c r="N13">
        <v>38260.200000000004</v>
      </c>
    </row>
    <row r="14" spans="1:14" x14ac:dyDescent="0.3">
      <c r="A14" s="1" t="s">
        <v>12</v>
      </c>
      <c r="B14" s="3">
        <v>58</v>
      </c>
      <c r="C14">
        <v>3498.0000000000005</v>
      </c>
      <c r="D14">
        <v>699.6</v>
      </c>
      <c r="E14">
        <v>9211.4000000000015</v>
      </c>
      <c r="F14">
        <v>4897.2000000000007</v>
      </c>
      <c r="I14">
        <v>10494</v>
      </c>
      <c r="J14">
        <v>4897.2000000000007</v>
      </c>
      <c r="K14">
        <v>3498.0000000000005</v>
      </c>
      <c r="L14">
        <v>4664</v>
      </c>
      <c r="N14">
        <v>3847.8000000000006</v>
      </c>
    </row>
    <row r="15" spans="1:14" x14ac:dyDescent="0.3">
      <c r="A15" s="1" t="s">
        <v>13</v>
      </c>
      <c r="B15" s="3">
        <v>52</v>
      </c>
      <c r="C15">
        <v>1724.8000000000002</v>
      </c>
      <c r="D15">
        <v>308</v>
      </c>
      <c r="E15">
        <v>554.40000000000009</v>
      </c>
      <c r="F15">
        <v>246.40000000000003</v>
      </c>
      <c r="G15">
        <v>6344.8</v>
      </c>
      <c r="H15">
        <v>1416.8000000000002</v>
      </c>
      <c r="I15">
        <v>1724.8000000000002</v>
      </c>
      <c r="J15">
        <v>862.40000000000009</v>
      </c>
      <c r="K15">
        <v>3880.8</v>
      </c>
      <c r="L15">
        <v>1971.2000000000003</v>
      </c>
      <c r="M15">
        <v>123.20000000000002</v>
      </c>
      <c r="N15">
        <v>1897.2800000000004</v>
      </c>
    </row>
    <row r="16" spans="1:14" x14ac:dyDescent="0.3">
      <c r="A16" s="1" t="s">
        <v>14</v>
      </c>
      <c r="B16" s="3">
        <v>71</v>
      </c>
      <c r="C16">
        <v>7378.8</v>
      </c>
      <c r="D16">
        <v>12298.000000000002</v>
      </c>
      <c r="E16">
        <v>4919.2000000000007</v>
      </c>
      <c r="F16">
        <v>22325.600000000002</v>
      </c>
      <c r="H16">
        <v>5297.6</v>
      </c>
      <c r="I16">
        <v>10406</v>
      </c>
      <c r="J16">
        <v>10406</v>
      </c>
      <c r="K16">
        <v>6622.0000000000009</v>
      </c>
      <c r="L16">
        <v>37272.400000000001</v>
      </c>
      <c r="N16">
        <v>8116.6800000000012</v>
      </c>
    </row>
    <row r="17" spans="1:14" x14ac:dyDescent="0.3">
      <c r="A17" s="1" t="s">
        <v>15</v>
      </c>
      <c r="B17" s="3">
        <v>33</v>
      </c>
      <c r="C17">
        <v>308</v>
      </c>
      <c r="D17">
        <v>440.00000000000006</v>
      </c>
      <c r="E17">
        <v>1496.0000000000002</v>
      </c>
      <c r="I17">
        <v>1210</v>
      </c>
      <c r="J17">
        <v>1540.0000000000002</v>
      </c>
      <c r="K17">
        <v>484.00000000000006</v>
      </c>
      <c r="L17">
        <v>1210</v>
      </c>
      <c r="N17">
        <v>338.8</v>
      </c>
    </row>
    <row r="18" spans="1:14" x14ac:dyDescent="0.3">
      <c r="A18" s="1" t="s">
        <v>16</v>
      </c>
      <c r="B18" s="3">
        <v>15</v>
      </c>
      <c r="C18">
        <v>3410.0000000000005</v>
      </c>
      <c r="E18">
        <v>6820.0000000000009</v>
      </c>
      <c r="N18">
        <v>3751.0000000000009</v>
      </c>
    </row>
    <row r="19" spans="1:14" x14ac:dyDescent="0.3">
      <c r="A19" s="1" t="s">
        <v>17</v>
      </c>
      <c r="B19" s="3">
        <v>56</v>
      </c>
      <c r="C19">
        <v>15716.800000000001</v>
      </c>
      <c r="D19">
        <v>33774.400000000001</v>
      </c>
      <c r="E19">
        <v>19060.800000000003</v>
      </c>
      <c r="F19">
        <v>22739.200000000001</v>
      </c>
      <c r="G19">
        <v>32436.800000000003</v>
      </c>
      <c r="H19">
        <v>33440</v>
      </c>
      <c r="I19">
        <v>34777.600000000006</v>
      </c>
      <c r="J19">
        <v>12372.800000000001</v>
      </c>
      <c r="K19">
        <v>10032</v>
      </c>
      <c r="L19">
        <v>8360</v>
      </c>
      <c r="N19">
        <v>17288.480000000003</v>
      </c>
    </row>
    <row r="20" spans="1:14" x14ac:dyDescent="0.3">
      <c r="A20" s="1" t="s">
        <v>18</v>
      </c>
      <c r="B20" s="3">
        <v>31</v>
      </c>
      <c r="E20">
        <v>5280</v>
      </c>
      <c r="F20">
        <v>7700.0000000000009</v>
      </c>
      <c r="G20">
        <v>1210</v>
      </c>
      <c r="H20">
        <v>16390</v>
      </c>
      <c r="I20">
        <v>8140.0000000000009</v>
      </c>
      <c r="J20">
        <v>3850.0000000000005</v>
      </c>
      <c r="K20">
        <v>16830</v>
      </c>
      <c r="L20">
        <v>1650.0000000000002</v>
      </c>
      <c r="M20">
        <v>2200</v>
      </c>
      <c r="N20">
        <v>0</v>
      </c>
    </row>
    <row r="21" spans="1:14" x14ac:dyDescent="0.3">
      <c r="A21" s="1" t="s">
        <v>19</v>
      </c>
      <c r="B21" s="3">
        <v>6</v>
      </c>
      <c r="D21">
        <v>15400.000000000002</v>
      </c>
      <c r="G21">
        <v>6600.0000000000009</v>
      </c>
      <c r="I21">
        <v>1320</v>
      </c>
      <c r="J21">
        <v>11000</v>
      </c>
      <c r="K21">
        <v>19360</v>
      </c>
      <c r="M21">
        <v>4620</v>
      </c>
      <c r="N21">
        <v>0</v>
      </c>
    </row>
    <row r="22" spans="1:14" x14ac:dyDescent="0.3">
      <c r="A22" s="1" t="s">
        <v>20</v>
      </c>
      <c r="B22" s="3">
        <v>37</v>
      </c>
      <c r="I22">
        <v>13728.000000000002</v>
      </c>
      <c r="K22">
        <v>1830.4</v>
      </c>
      <c r="N22">
        <v>0</v>
      </c>
    </row>
    <row r="23" spans="1:14" x14ac:dyDescent="0.3">
      <c r="A23" s="1" t="s">
        <v>21</v>
      </c>
      <c r="B23" s="3">
        <v>24</v>
      </c>
      <c r="C23">
        <v>1386</v>
      </c>
      <c r="D23">
        <v>910.80000000000007</v>
      </c>
      <c r="F23">
        <v>2178</v>
      </c>
      <c r="H23">
        <v>1584.0000000000002</v>
      </c>
      <c r="I23">
        <v>1584.0000000000002</v>
      </c>
      <c r="J23">
        <v>5781.6</v>
      </c>
      <c r="K23">
        <v>7920.0000000000009</v>
      </c>
      <c r="L23">
        <v>5544</v>
      </c>
      <c r="M23">
        <v>792.00000000000011</v>
      </c>
      <c r="N23">
        <v>1524.6000000000001</v>
      </c>
    </row>
    <row r="24" spans="1:14" x14ac:dyDescent="0.3">
      <c r="A24" s="1" t="s">
        <v>22</v>
      </c>
      <c r="B24" s="3">
        <v>69</v>
      </c>
      <c r="C24">
        <v>26928.000000000004</v>
      </c>
      <c r="D24">
        <v>6336.0000000000009</v>
      </c>
      <c r="E24">
        <v>14256.000000000002</v>
      </c>
      <c r="F24">
        <v>17424</v>
      </c>
      <c r="G24">
        <v>37382.400000000001</v>
      </c>
      <c r="H24">
        <v>7603.2000000000007</v>
      </c>
      <c r="J24">
        <v>15840.000000000002</v>
      </c>
      <c r="K24">
        <v>6019.2000000000007</v>
      </c>
      <c r="L24">
        <v>20908.800000000003</v>
      </c>
      <c r="N24">
        <v>29620.800000000007</v>
      </c>
    </row>
    <row r="25" spans="1:14" x14ac:dyDescent="0.3">
      <c r="A25" s="1" t="s">
        <v>23</v>
      </c>
      <c r="B25" s="3">
        <v>44</v>
      </c>
      <c r="D25">
        <v>1711.6000000000001</v>
      </c>
      <c r="E25">
        <v>8386.84</v>
      </c>
      <c r="F25">
        <v>12665.84</v>
      </c>
      <c r="G25">
        <v>2738.56</v>
      </c>
      <c r="H25">
        <v>1711.6000000000001</v>
      </c>
      <c r="I25">
        <v>2738.56</v>
      </c>
      <c r="K25">
        <v>4107.8399999999992</v>
      </c>
      <c r="L25">
        <v>4621.3200000000006</v>
      </c>
      <c r="N25">
        <v>0</v>
      </c>
    </row>
    <row r="26" spans="1:14" x14ac:dyDescent="0.3">
      <c r="A26" s="1" t="s">
        <v>24</v>
      </c>
      <c r="B26" s="3">
        <v>26</v>
      </c>
      <c r="C26">
        <v>3023.0639999999999</v>
      </c>
      <c r="D26">
        <v>9618.84</v>
      </c>
      <c r="E26">
        <v>12367.08</v>
      </c>
      <c r="F26">
        <v>12367.08</v>
      </c>
      <c r="G26">
        <v>8794.3680000000004</v>
      </c>
      <c r="H26">
        <v>5771.304000000001</v>
      </c>
      <c r="I26">
        <v>28856.520000000004</v>
      </c>
      <c r="J26">
        <v>5496.4800000000005</v>
      </c>
      <c r="K26">
        <v>1374.1200000000001</v>
      </c>
      <c r="L26">
        <v>22260.744000000002</v>
      </c>
      <c r="N26">
        <v>3325.3704000000002</v>
      </c>
    </row>
    <row r="27" spans="1:14" x14ac:dyDescent="0.3">
      <c r="A27" s="1" t="s">
        <v>25</v>
      </c>
      <c r="B27" s="3">
        <v>22</v>
      </c>
      <c r="C27">
        <v>8870.4000000000015</v>
      </c>
      <c r="D27">
        <v>17556</v>
      </c>
      <c r="E27">
        <v>3696.0000000000005</v>
      </c>
      <c r="H27">
        <v>1848.0000000000002</v>
      </c>
      <c r="I27">
        <v>16077.600000000002</v>
      </c>
      <c r="K27">
        <v>3880.8</v>
      </c>
      <c r="L27">
        <v>4620</v>
      </c>
      <c r="N27">
        <v>9757.4400000000023</v>
      </c>
    </row>
    <row r="28" spans="1:14" x14ac:dyDescent="0.3">
      <c r="A28" s="1" t="s">
        <v>26</v>
      </c>
      <c r="B28" s="3">
        <v>10</v>
      </c>
      <c r="C28">
        <v>21824</v>
      </c>
      <c r="D28">
        <v>4910.4000000000005</v>
      </c>
      <c r="E28">
        <v>12548.800000000001</v>
      </c>
      <c r="F28">
        <v>19914.400000000001</v>
      </c>
      <c r="H28">
        <v>14185.6</v>
      </c>
      <c r="I28">
        <v>35736.800000000003</v>
      </c>
      <c r="J28">
        <v>21824</v>
      </c>
      <c r="K28">
        <v>20460</v>
      </c>
      <c r="L28">
        <v>6547.2000000000007</v>
      </c>
      <c r="M28">
        <v>272.8</v>
      </c>
      <c r="N28">
        <v>24006.400000000001</v>
      </c>
    </row>
    <row r="29" spans="1:14" x14ac:dyDescent="0.3">
      <c r="A29" s="1" t="s">
        <v>27</v>
      </c>
      <c r="B29" s="3">
        <v>36</v>
      </c>
      <c r="C29">
        <v>12707.2</v>
      </c>
      <c r="D29">
        <v>2508</v>
      </c>
      <c r="E29">
        <v>6019.2000000000007</v>
      </c>
      <c r="F29">
        <v>7524.0000000000009</v>
      </c>
      <c r="G29">
        <v>4347.2000000000007</v>
      </c>
      <c r="H29">
        <v>5016</v>
      </c>
      <c r="I29">
        <v>8360</v>
      </c>
      <c r="J29">
        <v>3344.0000000000005</v>
      </c>
      <c r="K29">
        <v>15884.000000000002</v>
      </c>
      <c r="L29">
        <v>11536.800000000001</v>
      </c>
      <c r="N29">
        <v>13977.920000000002</v>
      </c>
    </row>
    <row r="30" spans="1:14" x14ac:dyDescent="0.3">
      <c r="A30" s="1" t="s">
        <v>28</v>
      </c>
      <c r="B30" s="3">
        <v>43</v>
      </c>
      <c r="D30">
        <v>8096.0000000000009</v>
      </c>
      <c r="E30">
        <v>2428.8000000000002</v>
      </c>
      <c r="F30">
        <v>25907.200000000001</v>
      </c>
      <c r="H30">
        <v>12144.000000000002</v>
      </c>
      <c r="I30">
        <v>16596.800000000003</v>
      </c>
      <c r="K30">
        <v>19835.2</v>
      </c>
      <c r="L30">
        <v>24288.000000000004</v>
      </c>
      <c r="M30">
        <v>14572.800000000001</v>
      </c>
      <c r="N30">
        <v>0</v>
      </c>
    </row>
    <row r="31" spans="1:14" x14ac:dyDescent="0.3">
      <c r="A31" s="1" t="s">
        <v>29</v>
      </c>
      <c r="B31" s="3">
        <v>41</v>
      </c>
      <c r="E31">
        <v>14266.560000000001</v>
      </c>
      <c r="F31">
        <v>4585.68</v>
      </c>
      <c r="G31">
        <v>3991.2400000000002</v>
      </c>
      <c r="H31">
        <v>6284.0800000000008</v>
      </c>
      <c r="I31">
        <v>4415.84</v>
      </c>
      <c r="J31">
        <v>4161.0800000000008</v>
      </c>
      <c r="K31">
        <v>3396.8</v>
      </c>
      <c r="L31">
        <v>9595.9600000000009</v>
      </c>
      <c r="M31">
        <v>5434.880000000001</v>
      </c>
      <c r="N31">
        <v>0</v>
      </c>
    </row>
    <row r="32" spans="1:14" x14ac:dyDescent="0.3">
      <c r="A32" s="1" t="s">
        <v>30</v>
      </c>
      <c r="B32" s="3">
        <v>13</v>
      </c>
      <c r="C32">
        <v>3590.4</v>
      </c>
      <c r="D32">
        <v>686.40000000000009</v>
      </c>
      <c r="G32">
        <v>528</v>
      </c>
      <c r="H32">
        <v>1056</v>
      </c>
      <c r="I32">
        <v>4804.8</v>
      </c>
      <c r="J32">
        <v>3854.4</v>
      </c>
      <c r="K32">
        <v>15206.400000000001</v>
      </c>
      <c r="L32">
        <v>10190.400000000001</v>
      </c>
      <c r="M32">
        <v>739.2</v>
      </c>
      <c r="N32">
        <v>3949.4400000000005</v>
      </c>
    </row>
    <row r="33" spans="1:14" x14ac:dyDescent="0.3">
      <c r="A33" s="1" t="s">
        <v>31</v>
      </c>
      <c r="B33" s="3">
        <v>76</v>
      </c>
      <c r="C33">
        <v>14889.6</v>
      </c>
      <c r="D33">
        <v>5544</v>
      </c>
      <c r="E33">
        <v>1584.0000000000002</v>
      </c>
      <c r="F33">
        <v>7920.0000000000009</v>
      </c>
      <c r="G33">
        <v>7920.0000000000009</v>
      </c>
      <c r="I33">
        <v>14414.400000000001</v>
      </c>
      <c r="J33">
        <v>1584.0000000000002</v>
      </c>
      <c r="K33">
        <v>22017.600000000002</v>
      </c>
      <c r="L33">
        <v>23126.400000000001</v>
      </c>
      <c r="M33">
        <v>316.8</v>
      </c>
      <c r="N33">
        <v>16378.560000000001</v>
      </c>
    </row>
    <row r="34" spans="1:14" x14ac:dyDescent="0.3">
      <c r="A34" s="1" t="s">
        <v>32</v>
      </c>
      <c r="B34" s="3">
        <v>67</v>
      </c>
      <c r="E34">
        <v>3080.0000000000005</v>
      </c>
      <c r="H34">
        <v>369.6</v>
      </c>
      <c r="J34">
        <v>3696.0000000000005</v>
      </c>
      <c r="K34">
        <v>7884.8000000000011</v>
      </c>
      <c r="L34">
        <v>2464</v>
      </c>
      <c r="N34">
        <v>0</v>
      </c>
    </row>
    <row r="35" spans="1:14" x14ac:dyDescent="0.3">
      <c r="A35" s="1" t="s">
        <v>33</v>
      </c>
      <c r="B35" s="3">
        <v>74</v>
      </c>
      <c r="G35">
        <v>440.00000000000006</v>
      </c>
      <c r="H35">
        <v>4400</v>
      </c>
      <c r="I35">
        <v>1760.0000000000002</v>
      </c>
      <c r="L35">
        <v>1760.0000000000002</v>
      </c>
      <c r="N35">
        <v>0</v>
      </c>
    </row>
    <row r="36" spans="1:14" x14ac:dyDescent="0.3">
      <c r="A36" s="1" t="s">
        <v>34</v>
      </c>
      <c r="B36" s="3">
        <v>65</v>
      </c>
      <c r="C36">
        <v>2222.88</v>
      </c>
      <c r="D36">
        <v>3890.0400000000004</v>
      </c>
      <c r="E36">
        <v>6853.880000000001</v>
      </c>
      <c r="F36">
        <v>12040.6</v>
      </c>
      <c r="G36">
        <v>9262</v>
      </c>
      <c r="H36">
        <v>15189.68</v>
      </c>
      <c r="I36">
        <v>2778.6000000000004</v>
      </c>
      <c r="J36">
        <v>11855.36</v>
      </c>
      <c r="L36">
        <v>3890.0400000000004</v>
      </c>
      <c r="N36">
        <v>2445.1680000000001</v>
      </c>
    </row>
    <row r="37" spans="1:14" x14ac:dyDescent="0.3">
      <c r="A37" s="1" t="s">
        <v>35</v>
      </c>
      <c r="B37" s="3">
        <v>66</v>
      </c>
      <c r="E37">
        <v>598.40000000000009</v>
      </c>
      <c r="H37">
        <v>7480.0000000000009</v>
      </c>
      <c r="M37">
        <v>149.60000000000002</v>
      </c>
      <c r="N37">
        <v>0</v>
      </c>
    </row>
    <row r="38" spans="1:14" x14ac:dyDescent="0.3">
      <c r="A38" s="1" t="s">
        <v>36</v>
      </c>
      <c r="B38" s="3">
        <v>51</v>
      </c>
      <c r="D38">
        <v>6996.0000000000009</v>
      </c>
      <c r="E38">
        <v>18656</v>
      </c>
      <c r="F38">
        <v>16324.000000000002</v>
      </c>
      <c r="G38">
        <v>13992.000000000002</v>
      </c>
      <c r="H38">
        <v>87683.200000000012</v>
      </c>
      <c r="I38">
        <v>6063.2000000000007</v>
      </c>
      <c r="J38">
        <v>932.80000000000007</v>
      </c>
      <c r="K38">
        <v>34513.600000000006</v>
      </c>
      <c r="L38">
        <v>62031.200000000004</v>
      </c>
      <c r="N38">
        <v>0</v>
      </c>
    </row>
    <row r="39" spans="1:14" x14ac:dyDescent="0.3">
      <c r="A39" s="1" t="s">
        <v>37</v>
      </c>
      <c r="B39" s="3">
        <v>32</v>
      </c>
      <c r="F39">
        <v>1126.4000000000001</v>
      </c>
      <c r="G39">
        <v>2816</v>
      </c>
      <c r="I39">
        <v>5632</v>
      </c>
      <c r="J39">
        <v>1689.6000000000001</v>
      </c>
      <c r="K39">
        <v>9856</v>
      </c>
      <c r="L39">
        <v>23936.000000000004</v>
      </c>
      <c r="M39">
        <v>281.60000000000002</v>
      </c>
      <c r="N39">
        <v>0</v>
      </c>
    </row>
    <row r="40" spans="1:14" x14ac:dyDescent="0.3">
      <c r="A40" s="1" t="s">
        <v>38</v>
      </c>
      <c r="B40" s="3">
        <v>49</v>
      </c>
      <c r="C40">
        <v>7568.0000000000009</v>
      </c>
      <c r="H40">
        <v>704</v>
      </c>
      <c r="J40">
        <v>15312.000000000002</v>
      </c>
      <c r="K40">
        <v>11968.000000000002</v>
      </c>
      <c r="L40">
        <v>10912</v>
      </c>
      <c r="N40">
        <v>8324.8000000000011</v>
      </c>
    </row>
    <row r="41" spans="1:14" x14ac:dyDescent="0.3">
      <c r="A41" s="1" t="s">
        <v>39</v>
      </c>
      <c r="B41" s="3">
        <v>9</v>
      </c>
      <c r="E41">
        <v>42680</v>
      </c>
      <c r="F41">
        <v>5121.6000000000004</v>
      </c>
      <c r="I41">
        <v>2560.8000000000002</v>
      </c>
      <c r="N41">
        <v>0</v>
      </c>
    </row>
    <row r="42" spans="1:14" x14ac:dyDescent="0.3">
      <c r="A42" s="1" t="s">
        <v>40</v>
      </c>
      <c r="B42" s="3">
        <v>72</v>
      </c>
      <c r="C42">
        <v>3674.8800000000006</v>
      </c>
      <c r="D42">
        <v>22968.000000000004</v>
      </c>
      <c r="G42">
        <v>12862.08</v>
      </c>
      <c r="H42">
        <v>12249.6</v>
      </c>
      <c r="I42">
        <v>16843.2</v>
      </c>
      <c r="K42">
        <v>30930.240000000005</v>
      </c>
      <c r="L42">
        <v>11330.880000000001</v>
      </c>
      <c r="N42">
        <v>4042.3680000000008</v>
      </c>
    </row>
    <row r="43" spans="1:14" x14ac:dyDescent="0.3">
      <c r="A43" s="1" t="s">
        <v>41</v>
      </c>
      <c r="B43" s="3">
        <v>30</v>
      </c>
      <c r="D43">
        <v>6834.9600000000009</v>
      </c>
      <c r="E43">
        <v>455.66400000000004</v>
      </c>
      <c r="F43">
        <v>683.49600000000009</v>
      </c>
      <c r="G43">
        <v>13669.920000000002</v>
      </c>
      <c r="H43">
        <v>9113.2800000000007</v>
      </c>
      <c r="I43">
        <v>4556.6400000000003</v>
      </c>
      <c r="J43">
        <v>28706.832000000002</v>
      </c>
      <c r="K43">
        <v>7062.7920000000013</v>
      </c>
      <c r="L43">
        <v>3417.4800000000005</v>
      </c>
      <c r="M43">
        <v>911.32800000000009</v>
      </c>
      <c r="N43">
        <v>0</v>
      </c>
    </row>
    <row r="44" spans="1:14" x14ac:dyDescent="0.3">
      <c r="A44" s="1" t="s">
        <v>42</v>
      </c>
      <c r="B44" s="3">
        <v>8</v>
      </c>
      <c r="F44">
        <v>17600</v>
      </c>
      <c r="H44">
        <v>10560</v>
      </c>
      <c r="I44">
        <v>7040.0000000000009</v>
      </c>
      <c r="J44">
        <v>10560</v>
      </c>
      <c r="K44">
        <v>12672.000000000002</v>
      </c>
      <c r="L44">
        <v>10560</v>
      </c>
      <c r="M44">
        <v>704</v>
      </c>
      <c r="N44">
        <v>0</v>
      </c>
    </row>
    <row r="45" spans="1:14" x14ac:dyDescent="0.3">
      <c r="A45" s="1" t="s">
        <v>43</v>
      </c>
      <c r="B45" s="3">
        <v>25</v>
      </c>
      <c r="H45">
        <v>7638.4000000000005</v>
      </c>
      <c r="I45">
        <v>6283.2000000000007</v>
      </c>
      <c r="J45">
        <v>616</v>
      </c>
      <c r="K45">
        <v>2956.8</v>
      </c>
      <c r="L45">
        <v>1848.0000000000002</v>
      </c>
      <c r="N45">
        <v>0</v>
      </c>
    </row>
    <row r="46" spans="1:14" x14ac:dyDescent="0.3">
      <c r="A46" s="1" t="s">
        <v>44</v>
      </c>
      <c r="B46" s="3">
        <v>77</v>
      </c>
      <c r="C46">
        <v>9724</v>
      </c>
      <c r="D46">
        <v>4004.0000000000005</v>
      </c>
      <c r="E46">
        <v>8008.0000000000009</v>
      </c>
      <c r="F46">
        <v>3432.0000000000005</v>
      </c>
      <c r="G46">
        <v>228.8</v>
      </c>
      <c r="H46">
        <v>1716.0000000000002</v>
      </c>
      <c r="I46">
        <v>5948.8</v>
      </c>
      <c r="J46">
        <v>7436.0000000000009</v>
      </c>
      <c r="K46">
        <v>8008.0000000000009</v>
      </c>
      <c r="L46">
        <v>9037.6</v>
      </c>
      <c r="M46">
        <v>3432.0000000000005</v>
      </c>
      <c r="N46">
        <v>10696.400000000001</v>
      </c>
    </row>
    <row r="47" spans="1:14" x14ac:dyDescent="0.3">
      <c r="A47" s="1" t="s">
        <v>45</v>
      </c>
      <c r="B47" s="3">
        <v>70</v>
      </c>
      <c r="C47">
        <v>1980.0000000000002</v>
      </c>
      <c r="D47">
        <v>4620</v>
      </c>
      <c r="E47">
        <v>5280</v>
      </c>
      <c r="F47">
        <v>15312.000000000002</v>
      </c>
      <c r="G47">
        <v>5280</v>
      </c>
      <c r="H47">
        <v>4620</v>
      </c>
      <c r="I47">
        <v>12672.000000000002</v>
      </c>
      <c r="J47">
        <v>10956</v>
      </c>
      <c r="L47">
        <v>9108</v>
      </c>
      <c r="N47">
        <v>2178.0000000000005</v>
      </c>
    </row>
    <row r="48" spans="1:14" x14ac:dyDescent="0.3">
      <c r="A48" s="1" t="s">
        <v>46</v>
      </c>
      <c r="B48" s="3">
        <v>55</v>
      </c>
      <c r="C48">
        <v>5280</v>
      </c>
      <c r="D48">
        <v>2534.4</v>
      </c>
      <c r="E48">
        <v>844.80000000000007</v>
      </c>
      <c r="F48">
        <v>5702.4000000000005</v>
      </c>
      <c r="G48">
        <v>2534.4</v>
      </c>
      <c r="H48">
        <v>12672.000000000002</v>
      </c>
      <c r="J48">
        <v>8448</v>
      </c>
      <c r="K48">
        <v>6124.8</v>
      </c>
      <c r="L48">
        <v>38227.200000000004</v>
      </c>
      <c r="M48">
        <v>1267.2</v>
      </c>
      <c r="N48">
        <v>5808.0000000000009</v>
      </c>
    </row>
    <row r="49" spans="1:14" x14ac:dyDescent="0.3">
      <c r="A49" s="1" t="s">
        <v>47</v>
      </c>
      <c r="B49" s="3">
        <v>16</v>
      </c>
      <c r="C49">
        <v>4606.8</v>
      </c>
      <c r="E49">
        <v>14281.08</v>
      </c>
      <c r="F49">
        <v>6142.4000000000005</v>
      </c>
      <c r="G49">
        <v>2764.0800000000004</v>
      </c>
      <c r="H49">
        <v>13052.6</v>
      </c>
      <c r="I49">
        <v>7678.0000000000009</v>
      </c>
      <c r="J49">
        <v>9674.2800000000007</v>
      </c>
      <c r="K49">
        <v>26565.88</v>
      </c>
      <c r="M49">
        <v>7524.4400000000005</v>
      </c>
      <c r="N49">
        <v>5067.4800000000005</v>
      </c>
    </row>
    <row r="50" spans="1:14" x14ac:dyDescent="0.3">
      <c r="A50" s="1" t="s">
        <v>48</v>
      </c>
      <c r="B50" s="3">
        <v>53</v>
      </c>
      <c r="D50">
        <v>10679.68</v>
      </c>
      <c r="E50">
        <v>2886.4</v>
      </c>
      <c r="F50">
        <v>35502.720000000001</v>
      </c>
      <c r="I50">
        <v>8370.5600000000013</v>
      </c>
      <c r="J50">
        <v>865.91999999999985</v>
      </c>
      <c r="K50">
        <v>6350.0800000000008</v>
      </c>
      <c r="L50">
        <v>23091.200000000001</v>
      </c>
      <c r="M50">
        <v>7216</v>
      </c>
      <c r="N50">
        <v>0</v>
      </c>
    </row>
    <row r="51" spans="1:14" x14ac:dyDescent="0.3">
      <c r="A51" s="1" t="s">
        <v>49</v>
      </c>
      <c r="B51" s="3">
        <v>11</v>
      </c>
      <c r="C51">
        <v>2587.2000000000003</v>
      </c>
      <c r="D51">
        <v>1848.0000000000002</v>
      </c>
      <c r="F51">
        <v>2772</v>
      </c>
      <c r="G51">
        <v>924.00000000000011</v>
      </c>
      <c r="H51">
        <v>15708.000000000002</v>
      </c>
      <c r="I51">
        <v>11088</v>
      </c>
      <c r="J51">
        <v>16632</v>
      </c>
      <c r="K51">
        <v>9609.6</v>
      </c>
      <c r="L51">
        <v>1848.0000000000002</v>
      </c>
      <c r="M51">
        <v>1848.0000000000002</v>
      </c>
      <c r="N51">
        <v>2845.9200000000005</v>
      </c>
    </row>
    <row r="52" spans="1:14" x14ac:dyDescent="0.3">
      <c r="A52" s="1" t="s">
        <v>50</v>
      </c>
      <c r="B52" s="3">
        <v>12</v>
      </c>
      <c r="D52">
        <v>12038.400000000001</v>
      </c>
      <c r="E52">
        <v>33440</v>
      </c>
      <c r="F52">
        <v>13376.000000000002</v>
      </c>
      <c r="K52">
        <v>16720</v>
      </c>
      <c r="L52">
        <v>14713.6</v>
      </c>
      <c r="M52">
        <v>668.80000000000007</v>
      </c>
      <c r="N52">
        <v>0</v>
      </c>
    </row>
    <row r="53" spans="1:14" x14ac:dyDescent="0.3">
      <c r="A53" s="1" t="s">
        <v>51</v>
      </c>
      <c r="B53" s="3">
        <v>59</v>
      </c>
      <c r="C53">
        <v>41140</v>
      </c>
      <c r="E53">
        <v>6292.0000000000009</v>
      </c>
      <c r="F53">
        <v>53240.000000000007</v>
      </c>
      <c r="G53">
        <v>45012</v>
      </c>
      <c r="H53">
        <v>31460.000000000004</v>
      </c>
      <c r="I53">
        <v>71148</v>
      </c>
      <c r="J53">
        <v>19360</v>
      </c>
      <c r="K53">
        <v>1936.0000000000002</v>
      </c>
      <c r="L53">
        <v>155848</v>
      </c>
      <c r="N53">
        <v>45254.000000000007</v>
      </c>
    </row>
    <row r="54" spans="1:14" x14ac:dyDescent="0.3">
      <c r="A54" s="1" t="s">
        <v>52</v>
      </c>
      <c r="B54" s="3">
        <v>57</v>
      </c>
      <c r="C54">
        <v>3432.0000000000005</v>
      </c>
      <c r="F54">
        <v>6864.0000000000009</v>
      </c>
      <c r="G54">
        <v>2402.4</v>
      </c>
      <c r="I54">
        <v>10982.400000000001</v>
      </c>
      <c r="J54">
        <v>3432.0000000000005</v>
      </c>
      <c r="K54">
        <v>7722.0000000000009</v>
      </c>
      <c r="L54">
        <v>8236.8000000000011</v>
      </c>
      <c r="N54">
        <v>3775.2000000000007</v>
      </c>
    </row>
    <row r="55" spans="1:14" x14ac:dyDescent="0.3">
      <c r="A55" s="1" t="s">
        <v>53</v>
      </c>
      <c r="B55" s="3">
        <v>75</v>
      </c>
      <c r="C55">
        <v>4774</v>
      </c>
      <c r="D55">
        <v>682</v>
      </c>
      <c r="E55">
        <v>3751.0000000000005</v>
      </c>
      <c r="F55">
        <v>2864.4</v>
      </c>
      <c r="G55">
        <v>1364</v>
      </c>
      <c r="H55">
        <v>7979.4000000000005</v>
      </c>
      <c r="I55">
        <v>1364</v>
      </c>
      <c r="J55">
        <v>9138.8000000000011</v>
      </c>
      <c r="K55">
        <v>14799.400000000001</v>
      </c>
      <c r="L55">
        <v>2046.0000000000002</v>
      </c>
      <c r="M55">
        <v>272.8</v>
      </c>
      <c r="N55">
        <v>5251.4000000000005</v>
      </c>
    </row>
    <row r="56" spans="1:14" x14ac:dyDescent="0.3">
      <c r="A56" s="1" t="s">
        <v>54</v>
      </c>
      <c r="B56" s="3">
        <v>73</v>
      </c>
      <c r="C56">
        <v>3960.0000000000005</v>
      </c>
      <c r="D56">
        <v>4620</v>
      </c>
      <c r="E56">
        <v>6600.0000000000009</v>
      </c>
      <c r="F56">
        <v>6600.0000000000009</v>
      </c>
      <c r="G56">
        <v>1980.0000000000002</v>
      </c>
      <c r="J56">
        <v>1320</v>
      </c>
      <c r="M56">
        <v>264</v>
      </c>
      <c r="N56">
        <v>4356.0000000000009</v>
      </c>
    </row>
    <row r="57" spans="1:14" x14ac:dyDescent="0.3">
      <c r="A57" s="1" t="s">
        <v>55</v>
      </c>
      <c r="B57" s="3">
        <v>45</v>
      </c>
      <c r="D57">
        <v>1672.0000000000002</v>
      </c>
      <c r="F57">
        <v>9196</v>
      </c>
      <c r="G57">
        <v>7022.4000000000005</v>
      </c>
      <c r="H57">
        <v>2257.2000000000003</v>
      </c>
      <c r="I57">
        <v>3009.6000000000004</v>
      </c>
      <c r="J57">
        <v>1254</v>
      </c>
      <c r="K57">
        <v>2508</v>
      </c>
      <c r="L57">
        <v>1672.0000000000002</v>
      </c>
      <c r="N57">
        <v>0</v>
      </c>
    </row>
    <row r="58" spans="1:14" x14ac:dyDescent="0.3">
      <c r="A58" s="1" t="s">
        <v>56</v>
      </c>
      <c r="B58" s="3">
        <v>28</v>
      </c>
      <c r="D58">
        <v>12038.400000000001</v>
      </c>
      <c r="F58">
        <v>24076.800000000003</v>
      </c>
      <c r="G58">
        <v>10032</v>
      </c>
      <c r="H58">
        <v>9630.7200000000012</v>
      </c>
      <c r="J58">
        <v>1203.8400000000001</v>
      </c>
      <c r="K58">
        <v>24076.800000000003</v>
      </c>
      <c r="L58">
        <v>36115.200000000004</v>
      </c>
      <c r="M58">
        <v>3210.2400000000002</v>
      </c>
      <c r="N58">
        <v>0</v>
      </c>
    </row>
    <row r="59" spans="1:14" x14ac:dyDescent="0.3">
      <c r="A59" s="1" t="s">
        <v>57</v>
      </c>
      <c r="B59" s="3">
        <v>34</v>
      </c>
      <c r="F59">
        <v>3203.2000000000003</v>
      </c>
      <c r="G59">
        <v>3696.0000000000005</v>
      </c>
      <c r="H59">
        <v>1232</v>
      </c>
      <c r="J59">
        <v>1232</v>
      </c>
      <c r="K59">
        <v>2464</v>
      </c>
      <c r="L59">
        <v>22176</v>
      </c>
      <c r="M59">
        <v>4312</v>
      </c>
      <c r="N59">
        <v>0</v>
      </c>
    </row>
    <row r="60" spans="1:14" x14ac:dyDescent="0.3">
      <c r="A60" s="1" t="s">
        <v>58</v>
      </c>
      <c r="B60" s="3">
        <v>27</v>
      </c>
      <c r="C60">
        <v>19316</v>
      </c>
      <c r="H60">
        <v>15452.800000000001</v>
      </c>
      <c r="I60">
        <v>3863.2000000000003</v>
      </c>
      <c r="K60">
        <v>21247.600000000002</v>
      </c>
      <c r="N60">
        <v>21247.600000000002</v>
      </c>
    </row>
    <row r="61" spans="1:14" x14ac:dyDescent="0.3">
      <c r="A61" s="1" t="s">
        <v>59</v>
      </c>
      <c r="B61" s="3">
        <v>68</v>
      </c>
      <c r="D61">
        <v>3630.0000000000005</v>
      </c>
      <c r="E61">
        <v>1100</v>
      </c>
      <c r="F61">
        <v>9350</v>
      </c>
      <c r="G61">
        <v>660</v>
      </c>
      <c r="H61">
        <v>8030.0000000000009</v>
      </c>
      <c r="I61">
        <v>4840</v>
      </c>
      <c r="J61">
        <v>6380.0000000000009</v>
      </c>
      <c r="K61">
        <v>8800</v>
      </c>
      <c r="L61">
        <v>4840</v>
      </c>
      <c r="M61">
        <v>6050.0000000000009</v>
      </c>
      <c r="N61">
        <v>0</v>
      </c>
    </row>
    <row r="62" spans="1:14" x14ac:dyDescent="0.3">
      <c r="A62" s="1" t="s">
        <v>60</v>
      </c>
      <c r="B62" s="3">
        <v>42</v>
      </c>
      <c r="C62">
        <v>12320.000000000002</v>
      </c>
      <c r="D62">
        <v>2464</v>
      </c>
      <c r="E62">
        <v>11827.2</v>
      </c>
      <c r="G62">
        <v>3449.6000000000004</v>
      </c>
      <c r="H62">
        <v>4188.8</v>
      </c>
      <c r="I62">
        <v>7638.4000000000005</v>
      </c>
      <c r="J62">
        <v>3080.0000000000005</v>
      </c>
      <c r="K62">
        <v>1232</v>
      </c>
      <c r="L62">
        <v>13798.400000000001</v>
      </c>
      <c r="N62">
        <v>13552.000000000004</v>
      </c>
    </row>
    <row r="63" spans="1:14" x14ac:dyDescent="0.3">
      <c r="A63" s="1" t="s">
        <v>61</v>
      </c>
      <c r="B63" s="3">
        <v>20</v>
      </c>
      <c r="C63">
        <v>14968.800000000001</v>
      </c>
      <c r="E63">
        <v>14968.800000000001</v>
      </c>
      <c r="I63">
        <v>3564.0000000000005</v>
      </c>
      <c r="J63">
        <v>14256.000000000002</v>
      </c>
      <c r="K63">
        <v>49896.000000000007</v>
      </c>
      <c r="L63">
        <v>10692</v>
      </c>
      <c r="M63">
        <v>712.80000000000007</v>
      </c>
      <c r="N63">
        <v>16465.680000000004</v>
      </c>
    </row>
    <row r="64" spans="1:14" x14ac:dyDescent="0.3">
      <c r="A64" s="1" t="s">
        <v>62</v>
      </c>
      <c r="B64" s="3">
        <v>21</v>
      </c>
      <c r="C64">
        <v>1232</v>
      </c>
      <c r="D64">
        <v>8536</v>
      </c>
      <c r="E64">
        <v>6336.0000000000009</v>
      </c>
      <c r="F64">
        <v>3256.0000000000005</v>
      </c>
      <c r="G64">
        <v>6160.0000000000009</v>
      </c>
      <c r="H64">
        <v>3520.0000000000005</v>
      </c>
      <c r="I64">
        <v>3520.0000000000005</v>
      </c>
      <c r="J64">
        <v>5280</v>
      </c>
      <c r="K64">
        <v>13024.000000000002</v>
      </c>
      <c r="L64">
        <v>9064</v>
      </c>
      <c r="N64">
        <v>1355.2</v>
      </c>
    </row>
    <row r="65" spans="1:14" x14ac:dyDescent="0.3">
      <c r="A65" s="1" t="s">
        <v>63</v>
      </c>
      <c r="B65" s="3">
        <v>61</v>
      </c>
      <c r="C65">
        <v>30096.000000000004</v>
      </c>
      <c r="D65">
        <v>5016</v>
      </c>
      <c r="F65">
        <v>3762.0000000000005</v>
      </c>
      <c r="G65">
        <v>5016</v>
      </c>
      <c r="H65">
        <v>5016</v>
      </c>
      <c r="I65">
        <v>7524.0000000000009</v>
      </c>
      <c r="J65">
        <v>12540.000000000002</v>
      </c>
      <c r="K65">
        <v>7524.0000000000009</v>
      </c>
      <c r="L65">
        <v>24327.600000000002</v>
      </c>
      <c r="N65">
        <v>33105.600000000006</v>
      </c>
    </row>
    <row r="66" spans="1:14" x14ac:dyDescent="0.3">
      <c r="A66" s="1" t="s">
        <v>64</v>
      </c>
      <c r="B66" s="3">
        <v>46</v>
      </c>
      <c r="D66">
        <v>2217.6000000000004</v>
      </c>
      <c r="E66">
        <v>11088</v>
      </c>
      <c r="F66">
        <v>4435.2000000000007</v>
      </c>
      <c r="G66">
        <v>2956.8</v>
      </c>
      <c r="I66">
        <v>3696.0000000000005</v>
      </c>
      <c r="J66">
        <v>2217.6000000000004</v>
      </c>
      <c r="K66">
        <v>2534.4</v>
      </c>
      <c r="L66">
        <v>5068.8</v>
      </c>
      <c r="M66">
        <v>3484.8</v>
      </c>
      <c r="N66">
        <v>0</v>
      </c>
    </row>
    <row r="67" spans="1:14" x14ac:dyDescent="0.3">
      <c r="A67" s="1" t="s">
        <v>65</v>
      </c>
      <c r="B67" s="3">
        <v>35</v>
      </c>
      <c r="C67">
        <v>8553.6</v>
      </c>
      <c r="D67">
        <v>4752</v>
      </c>
      <c r="F67">
        <v>4752</v>
      </c>
      <c r="G67">
        <v>5544</v>
      </c>
      <c r="H67">
        <v>2376</v>
      </c>
      <c r="I67">
        <v>9345.6</v>
      </c>
      <c r="J67">
        <v>5860.8</v>
      </c>
      <c r="K67">
        <v>7920.0000000000009</v>
      </c>
      <c r="L67">
        <v>18532.800000000003</v>
      </c>
      <c r="N67">
        <v>9408.9600000000009</v>
      </c>
    </row>
    <row r="68" spans="1:14" x14ac:dyDescent="0.3">
      <c r="A68" s="1" t="s">
        <v>66</v>
      </c>
      <c r="B68" s="3">
        <v>62</v>
      </c>
      <c r="C68">
        <v>8676.8000000000011</v>
      </c>
      <c r="D68">
        <v>41214.800000000003</v>
      </c>
      <c r="E68">
        <v>4338.4000000000005</v>
      </c>
      <c r="F68">
        <v>29501.120000000003</v>
      </c>
      <c r="G68">
        <v>16919.760000000002</v>
      </c>
      <c r="H68">
        <v>18221.280000000002</v>
      </c>
      <c r="I68">
        <v>43817.840000000004</v>
      </c>
      <c r="J68">
        <v>26464.240000000005</v>
      </c>
      <c r="K68">
        <v>67679.040000000008</v>
      </c>
      <c r="L68">
        <v>14316.720000000001</v>
      </c>
      <c r="N68">
        <v>9544.4800000000014</v>
      </c>
    </row>
    <row r="69" spans="1:14" x14ac:dyDescent="0.3">
      <c r="A69" s="1" t="s">
        <v>67</v>
      </c>
      <c r="B69" s="3">
        <v>19</v>
      </c>
      <c r="D69">
        <v>4048.0000000000005</v>
      </c>
      <c r="E69">
        <v>3967.0399999999995</v>
      </c>
      <c r="F69">
        <v>1943.0400000000002</v>
      </c>
      <c r="H69">
        <v>5991.04</v>
      </c>
      <c r="I69">
        <v>2347.84</v>
      </c>
      <c r="J69">
        <v>2995.52</v>
      </c>
      <c r="K69">
        <v>1538.2400000000002</v>
      </c>
      <c r="L69">
        <v>6881.6</v>
      </c>
      <c r="M69">
        <v>4209.92</v>
      </c>
      <c r="N69">
        <v>0</v>
      </c>
    </row>
    <row r="70" spans="1:14" x14ac:dyDescent="0.3">
      <c r="A70" s="1" t="s">
        <v>68</v>
      </c>
      <c r="B70" s="3">
        <v>29</v>
      </c>
      <c r="D70">
        <v>28323.152000000002</v>
      </c>
      <c r="E70">
        <v>50110.192000000003</v>
      </c>
      <c r="F70">
        <v>56646.304000000004</v>
      </c>
      <c r="H70">
        <v>78433.344000000012</v>
      </c>
      <c r="I70">
        <v>19608.335999999999</v>
      </c>
      <c r="J70">
        <v>178653.72800000003</v>
      </c>
      <c r="K70">
        <v>15250.928</v>
      </c>
      <c r="L70">
        <v>132900.94400000002</v>
      </c>
      <c r="N70">
        <v>0</v>
      </c>
    </row>
    <row r="71" spans="1:14" x14ac:dyDescent="0.3">
      <c r="A71" s="1" t="s">
        <v>69</v>
      </c>
      <c r="B71" s="3">
        <v>14</v>
      </c>
      <c r="D71">
        <v>4910.4000000000005</v>
      </c>
      <c r="E71">
        <v>6751.8</v>
      </c>
      <c r="G71">
        <v>4296.6000000000004</v>
      </c>
      <c r="H71">
        <v>3069.0000000000005</v>
      </c>
      <c r="M71">
        <v>4296.6000000000004</v>
      </c>
      <c r="N71">
        <v>0</v>
      </c>
    </row>
    <row r="72" spans="1:14" x14ac:dyDescent="0.3">
      <c r="A72" s="1" t="s">
        <v>70</v>
      </c>
      <c r="B72" s="3">
        <v>54</v>
      </c>
      <c r="C72">
        <v>3540.2400000000002</v>
      </c>
      <c r="D72">
        <v>1966.8000000000002</v>
      </c>
      <c r="E72">
        <v>2360.1600000000003</v>
      </c>
      <c r="F72">
        <v>7539.4000000000005</v>
      </c>
      <c r="H72">
        <v>1245.6400000000001</v>
      </c>
      <c r="I72">
        <v>2294.6000000000004</v>
      </c>
      <c r="J72">
        <v>2753.52</v>
      </c>
      <c r="L72">
        <v>655.6</v>
      </c>
      <c r="M72">
        <v>1311.2</v>
      </c>
      <c r="N72">
        <v>3894.2640000000006</v>
      </c>
    </row>
    <row r="73" spans="1:14" x14ac:dyDescent="0.3">
      <c r="A73" s="1" t="s">
        <v>71</v>
      </c>
      <c r="B73" s="3">
        <v>23</v>
      </c>
      <c r="D73">
        <v>950.40000000000009</v>
      </c>
      <c r="E73">
        <v>2930.4</v>
      </c>
      <c r="G73">
        <v>3484.8</v>
      </c>
      <c r="I73">
        <v>6969.6</v>
      </c>
      <c r="J73">
        <v>6336.0000000000009</v>
      </c>
      <c r="K73">
        <v>633.6</v>
      </c>
      <c r="L73">
        <v>792.00000000000011</v>
      </c>
      <c r="M73">
        <v>158.4</v>
      </c>
      <c r="N73">
        <v>0</v>
      </c>
    </row>
    <row r="74" spans="1:14" x14ac:dyDescent="0.3">
      <c r="A74" s="1" t="s">
        <v>72</v>
      </c>
      <c r="B74" s="3">
        <v>7</v>
      </c>
      <c r="C74">
        <v>14520.000000000002</v>
      </c>
      <c r="D74">
        <v>9240</v>
      </c>
      <c r="F74">
        <v>23760.000000000004</v>
      </c>
      <c r="H74">
        <v>10032</v>
      </c>
      <c r="I74">
        <v>6600.0000000000009</v>
      </c>
      <c r="J74">
        <v>8448</v>
      </c>
      <c r="K74">
        <v>57288.000000000007</v>
      </c>
      <c r="L74">
        <v>32736.000000000004</v>
      </c>
      <c r="M74">
        <v>4224</v>
      </c>
      <c r="N74">
        <v>15972.000000000004</v>
      </c>
    </row>
    <row r="75" spans="1:14" x14ac:dyDescent="0.3">
      <c r="A75" s="1" t="s">
        <v>73</v>
      </c>
      <c r="B75" s="3">
        <v>50</v>
      </c>
      <c r="D75">
        <v>3575.0000000000005</v>
      </c>
      <c r="G75">
        <v>8580</v>
      </c>
      <c r="K75">
        <v>4719</v>
      </c>
      <c r="M75">
        <v>3146.0000000000005</v>
      </c>
      <c r="N75">
        <v>0</v>
      </c>
    </row>
    <row r="76" spans="1:14" x14ac:dyDescent="0.3">
      <c r="A76" s="1" t="s">
        <v>74</v>
      </c>
      <c r="B76" s="3">
        <v>63</v>
      </c>
      <c r="C76">
        <v>9271.68</v>
      </c>
      <c r="F76">
        <v>7726.4000000000005</v>
      </c>
      <c r="G76">
        <v>3476.8800000000006</v>
      </c>
      <c r="H76">
        <v>11589.6</v>
      </c>
      <c r="K76">
        <v>40563.600000000006</v>
      </c>
      <c r="L76">
        <v>16225.44</v>
      </c>
      <c r="N76">
        <v>10198.848000000002</v>
      </c>
    </row>
    <row r="77" spans="1:14" x14ac:dyDescent="0.3">
      <c r="A77" s="1" t="s">
        <v>75</v>
      </c>
      <c r="B77" s="3">
        <v>64</v>
      </c>
      <c r="D77">
        <v>2633.4</v>
      </c>
      <c r="E77">
        <v>12581.800000000001</v>
      </c>
      <c r="G77">
        <v>7022.4000000000005</v>
      </c>
      <c r="H77">
        <v>10241</v>
      </c>
      <c r="I77">
        <v>32478.600000000002</v>
      </c>
      <c r="J77">
        <v>10241</v>
      </c>
      <c r="K77">
        <v>3511.2000000000003</v>
      </c>
      <c r="L77">
        <v>13167.000000000002</v>
      </c>
      <c r="M77">
        <v>38623.200000000004</v>
      </c>
      <c r="N77">
        <v>0</v>
      </c>
    </row>
    <row r="78" spans="1:14" x14ac:dyDescent="0.3">
      <c r="A78" s="1" t="s">
        <v>76</v>
      </c>
      <c r="B78" s="3">
        <v>47</v>
      </c>
      <c r="C78">
        <v>1254</v>
      </c>
      <c r="E78">
        <v>5935.6</v>
      </c>
      <c r="F78">
        <v>5601.2000000000007</v>
      </c>
      <c r="G78">
        <v>2508</v>
      </c>
      <c r="H78">
        <v>2508</v>
      </c>
      <c r="I78">
        <v>3344.0000000000005</v>
      </c>
      <c r="J78">
        <v>1755.6000000000001</v>
      </c>
      <c r="K78">
        <v>4096.4000000000005</v>
      </c>
      <c r="N78">
        <v>1379.4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5701D-AC67-476F-94E2-52CFC9ED2575}">
  <dimension ref="A1:P78"/>
  <sheetViews>
    <sheetView workbookViewId="0">
      <selection activeCell="R14" sqref="R14"/>
    </sheetView>
  </sheetViews>
  <sheetFormatPr defaultRowHeight="14.4" x14ac:dyDescent="0.3"/>
  <cols>
    <col min="1" max="1" width="29.5546875" bestFit="1" customWidth="1"/>
    <col min="2" max="2" width="16.6640625" customWidth="1"/>
    <col min="3" max="5" width="11" bestFit="1" customWidth="1"/>
    <col min="6" max="6" width="10" bestFit="1" customWidth="1"/>
    <col min="7" max="10" width="11" bestFit="1" customWidth="1"/>
    <col min="11" max="11" width="10" bestFit="1" customWidth="1"/>
    <col min="12" max="12" width="12" bestFit="1" customWidth="1"/>
    <col min="13" max="14" width="11" bestFit="1" customWidth="1"/>
  </cols>
  <sheetData>
    <row r="1" spans="1:16" x14ac:dyDescent="0.3">
      <c r="A1" s="2" t="s">
        <v>78</v>
      </c>
      <c r="B1" s="2" t="s">
        <v>77</v>
      </c>
      <c r="C1" s="4" t="s">
        <v>79</v>
      </c>
      <c r="D1" s="4" t="s">
        <v>80</v>
      </c>
      <c r="E1" s="4" t="s">
        <v>81</v>
      </c>
      <c r="F1" s="4" t="s">
        <v>82</v>
      </c>
      <c r="G1" s="4" t="s">
        <v>83</v>
      </c>
      <c r="H1" s="4" t="s">
        <v>84</v>
      </c>
      <c r="I1" s="4" t="s">
        <v>85</v>
      </c>
      <c r="J1" s="4" t="s">
        <v>86</v>
      </c>
      <c r="K1" s="4" t="s">
        <v>87</v>
      </c>
      <c r="L1" s="4" t="s">
        <v>88</v>
      </c>
      <c r="M1" s="4" t="s">
        <v>89</v>
      </c>
      <c r="N1" s="4" t="s">
        <v>90</v>
      </c>
    </row>
    <row r="2" spans="1:16" x14ac:dyDescent="0.3">
      <c r="A2" s="1" t="s">
        <v>0</v>
      </c>
      <c r="B2" s="3">
        <v>17</v>
      </c>
      <c r="C2" s="6">
        <f>'Budget 2023-2024'!C2 *0.9</f>
        <v>30888</v>
      </c>
      <c r="D2" s="6">
        <f>'Budget 2023-2024'!D2 *0.9</f>
        <v>0</v>
      </c>
      <c r="E2" s="6">
        <f>'Budget 2023-2024'!E2 *0.9</f>
        <v>9266.4</v>
      </c>
      <c r="F2" s="6">
        <f>'Budget 2023-2024'!F2 *0.9</f>
        <v>16988.400000000001</v>
      </c>
      <c r="G2" s="6">
        <f>'Budget 2023-2024'!G2 *0.9</f>
        <v>6177.6000000000013</v>
      </c>
      <c r="H2" s="6">
        <f>'Budget 2023-2024'!H2 *0.9</f>
        <v>36694.94400000001</v>
      </c>
      <c r="I2" s="6">
        <f>'Budget 2023-2024'!I2 *0.9</f>
        <v>14826.240000000002</v>
      </c>
      <c r="J2" s="6">
        <f>'Budget 2023-2024'!J2 *0.9</f>
        <v>16370.640000000003</v>
      </c>
      <c r="K2" s="6">
        <f>'Budget 2023-2024'!K2 *0.9</f>
        <v>8339.760000000002</v>
      </c>
      <c r="L2" s="6">
        <f>'Budget 2023-2024'!L2 *0.9</f>
        <v>3706.5600000000004</v>
      </c>
      <c r="M2" s="6">
        <f>'Budget 2023-2024'!M2 *0.9</f>
        <v>23783.760000000002</v>
      </c>
      <c r="N2" s="6">
        <f>'Budget 2023-2024'!N2 *0.9</f>
        <v>33976.800000000003</v>
      </c>
      <c r="P2" s="5"/>
    </row>
    <row r="3" spans="1:16" x14ac:dyDescent="0.3">
      <c r="A3" s="1" t="s">
        <v>1</v>
      </c>
      <c r="B3" s="3">
        <v>3</v>
      </c>
      <c r="C3" s="6">
        <f>'Budget 2023-2024'!C3 *0.9</f>
        <v>1108.8</v>
      </c>
      <c r="D3" s="6">
        <f>'Budget 2023-2024'!D3 *0.9</f>
        <v>0</v>
      </c>
      <c r="E3" s="6">
        <f>'Budget 2023-2024'!E3 *0.9</f>
        <v>0</v>
      </c>
      <c r="F3" s="6">
        <f>'Budget 2023-2024'!F3 *0.9</f>
        <v>475.2</v>
      </c>
      <c r="G3" s="6">
        <f>'Budget 2023-2024'!G3 *0.9</f>
        <v>1584.0000000000002</v>
      </c>
      <c r="H3" s="6">
        <f>'Budget 2023-2024'!H3 *0.9</f>
        <v>1584.0000000000002</v>
      </c>
      <c r="I3" s="6">
        <f>'Budget 2023-2024'!I3 *0.9</f>
        <v>6256.8000000000011</v>
      </c>
      <c r="J3" s="6">
        <f>'Budget 2023-2024'!J3 *0.9</f>
        <v>0</v>
      </c>
      <c r="K3" s="6">
        <f>'Budget 2023-2024'!K3 *0.9</f>
        <v>0</v>
      </c>
      <c r="L3" s="6">
        <f>'Budget 2023-2024'!L3 *0.9</f>
        <v>1980</v>
      </c>
      <c r="M3" s="6">
        <f>'Budget 2023-2024'!M3 *0.9</f>
        <v>316.8</v>
      </c>
      <c r="N3" s="6">
        <f>'Budget 2023-2024'!N3 *0.9</f>
        <v>1219.68</v>
      </c>
    </row>
    <row r="4" spans="1:16" x14ac:dyDescent="0.3">
      <c r="A4" s="1" t="s">
        <v>2</v>
      </c>
      <c r="B4" s="3">
        <v>40</v>
      </c>
      <c r="C4" s="6">
        <f>'Budget 2023-2024'!C4 *0.9</f>
        <v>6120.576</v>
      </c>
      <c r="D4" s="6">
        <f>'Budget 2023-2024'!D4 *0.9</f>
        <v>8743.68</v>
      </c>
      <c r="E4" s="6">
        <f>'Budget 2023-2024'!E4 *0.9</f>
        <v>20984.831999999999</v>
      </c>
      <c r="F4" s="6">
        <f>'Budget 2023-2024'!F4 *0.9</f>
        <v>0</v>
      </c>
      <c r="G4" s="6">
        <f>'Budget 2023-2024'!G4 *0.9</f>
        <v>14427.072</v>
      </c>
      <c r="H4" s="6">
        <f>'Budget 2023-2024'!H4 *0.9</f>
        <v>145.72799999999998</v>
      </c>
      <c r="I4" s="6">
        <f>'Budget 2023-2024'!I4 *0.9</f>
        <v>16758.720000000005</v>
      </c>
      <c r="J4" s="6">
        <f>'Budget 2023-2024'!J4 *0.9</f>
        <v>15009.984000000002</v>
      </c>
      <c r="K4" s="6">
        <f>'Budget 2023-2024'!K4 *0.9</f>
        <v>4371.84</v>
      </c>
      <c r="L4" s="6">
        <f>'Budget 2023-2024'!L4 *0.9</f>
        <v>8015.0400000000009</v>
      </c>
      <c r="M4" s="6">
        <f>'Budget 2023-2024'!M4 *0.9</f>
        <v>0</v>
      </c>
      <c r="N4" s="6">
        <f>'Budget 2023-2024'!N4 *0.9</f>
        <v>6732.633600000001</v>
      </c>
    </row>
    <row r="5" spans="1:16" x14ac:dyDescent="0.3">
      <c r="A5" s="1" t="s">
        <v>3</v>
      </c>
      <c r="B5" s="3">
        <v>60</v>
      </c>
      <c r="C5" s="6">
        <f>'Budget 2023-2024'!C5 *0.9</f>
        <v>33660</v>
      </c>
      <c r="D5" s="6">
        <f>'Budget 2023-2024'!D5 *0.9</f>
        <v>8078.4000000000005</v>
      </c>
      <c r="E5" s="6">
        <f>'Budget 2023-2024'!E5 *0.9</f>
        <v>36352.800000000003</v>
      </c>
      <c r="F5" s="6">
        <f>'Budget 2023-2024'!F5 *0.9</f>
        <v>2692.8000000000006</v>
      </c>
      <c r="G5" s="6">
        <f>'Budget 2023-2024'!G5 *0.9</f>
        <v>17503.2</v>
      </c>
      <c r="H5" s="6">
        <f>'Budget 2023-2024'!H5 *0.9</f>
        <v>4039.2000000000003</v>
      </c>
      <c r="I5" s="6">
        <f>'Budget 2023-2024'!I5 *0.9</f>
        <v>42007.680000000008</v>
      </c>
      <c r="J5" s="6">
        <f>'Budget 2023-2024'!J5 *0.9</f>
        <v>26928.000000000004</v>
      </c>
      <c r="K5" s="6">
        <f>'Budget 2023-2024'!K5 *0.9</f>
        <v>29620.799999999999</v>
      </c>
      <c r="L5" s="6">
        <f>'Budget 2023-2024'!L5 *0.9</f>
        <v>46854.720000000001</v>
      </c>
      <c r="M5" s="6">
        <f>'Budget 2023-2024'!M5 *0.9</f>
        <v>538.56000000000006</v>
      </c>
      <c r="N5" s="6">
        <f>'Budget 2023-2024'!N5 *0.9</f>
        <v>37026</v>
      </c>
    </row>
    <row r="6" spans="1:16" x14ac:dyDescent="0.3">
      <c r="A6" s="1" t="s">
        <v>4</v>
      </c>
      <c r="B6" s="3">
        <v>18</v>
      </c>
      <c r="C6" s="6">
        <f>'Budget 2023-2024'!C6 *0.9</f>
        <v>19800</v>
      </c>
      <c r="D6" s="6">
        <f>'Budget 2023-2024'!D6 *0.9</f>
        <v>40590.000000000007</v>
      </c>
      <c r="E6" s="6">
        <f>'Budget 2023-2024'!E6 *0.9</f>
        <v>0</v>
      </c>
      <c r="F6" s="6">
        <f>'Budget 2023-2024'!F6 *0.9</f>
        <v>5940.0000000000009</v>
      </c>
      <c r="G6" s="6">
        <f>'Budget 2023-2024'!G6 *0.9</f>
        <v>22275.000000000004</v>
      </c>
      <c r="H6" s="6">
        <f>'Budget 2023-2024'!H6 *0.9</f>
        <v>14850</v>
      </c>
      <c r="I6" s="6">
        <f>'Budget 2023-2024'!I6 *0.9</f>
        <v>27225.000000000004</v>
      </c>
      <c r="J6" s="6">
        <f>'Budget 2023-2024'!J6 *0.9</f>
        <v>12375.000000000002</v>
      </c>
      <c r="K6" s="6">
        <f>'Budget 2023-2024'!K6 *0.9</f>
        <v>8910</v>
      </c>
      <c r="L6" s="6">
        <f>'Budget 2023-2024'!L6 *0.9</f>
        <v>26235.000000000004</v>
      </c>
      <c r="M6" s="6">
        <f>'Budget 2023-2024'!M6 *0.9</f>
        <v>0</v>
      </c>
      <c r="N6" s="6">
        <f>'Budget 2023-2024'!N6 *0.9</f>
        <v>21780.000000000004</v>
      </c>
    </row>
    <row r="7" spans="1:16" x14ac:dyDescent="0.3">
      <c r="A7" s="1" t="s">
        <v>5</v>
      </c>
      <c r="B7" s="3">
        <v>1</v>
      </c>
      <c r="C7" s="6">
        <f>'Budget 2023-2024'!C7 *0.9</f>
        <v>4134.2400000000007</v>
      </c>
      <c r="D7" s="6">
        <f>'Budget 2023-2024'!D7 *0.9</f>
        <v>5702.4000000000005</v>
      </c>
      <c r="E7" s="6">
        <f>'Budget 2023-2024'!E7 *0.9</f>
        <v>0</v>
      </c>
      <c r="F7" s="6">
        <f>'Budget 2023-2024'!F7 *0.9</f>
        <v>9979.2000000000007</v>
      </c>
      <c r="G7" s="6">
        <f>'Budget 2023-2024'!G7 *0.9</f>
        <v>8268.4800000000014</v>
      </c>
      <c r="H7" s="6">
        <f>'Budget 2023-2024'!H7 *0.9</f>
        <v>0</v>
      </c>
      <c r="I7" s="6">
        <f>'Budget 2023-2024'!I7 *0.9</f>
        <v>11975.04</v>
      </c>
      <c r="J7" s="6">
        <f>'Budget 2023-2024'!J7 *0.9</f>
        <v>12830.400000000001</v>
      </c>
      <c r="K7" s="6">
        <f>'Budget 2023-2024'!K7 *0.9</f>
        <v>11547.360000000002</v>
      </c>
      <c r="L7" s="6">
        <f>'Budget 2023-2024'!L7 *0.9</f>
        <v>14826.240000000002</v>
      </c>
      <c r="M7" s="6">
        <f>'Budget 2023-2024'!M7 *0.9</f>
        <v>5702.4000000000005</v>
      </c>
      <c r="N7" s="6">
        <f>'Budget 2023-2024'!N7 *0.9</f>
        <v>4547.6640000000007</v>
      </c>
    </row>
    <row r="8" spans="1:16" x14ac:dyDescent="0.3">
      <c r="A8" s="1" t="s">
        <v>6</v>
      </c>
      <c r="B8" s="3">
        <v>2</v>
      </c>
      <c r="C8" s="6">
        <f>'Budget 2023-2024'!C8 *0.9</f>
        <v>1504.8000000000002</v>
      </c>
      <c r="D8" s="6">
        <f>'Budget 2023-2024'!D8 *0.9</f>
        <v>15048</v>
      </c>
      <c r="E8" s="6">
        <f>'Budget 2023-2024'!E8 *0.9</f>
        <v>0</v>
      </c>
      <c r="F8" s="6">
        <f>'Budget 2023-2024'!F8 *0.9</f>
        <v>5718.2400000000007</v>
      </c>
      <c r="G8" s="6">
        <f>'Budget 2023-2024'!G8 *0.9</f>
        <v>2257.2000000000003</v>
      </c>
      <c r="H8" s="6">
        <f>'Budget 2023-2024'!H8 *0.9</f>
        <v>12790.800000000001</v>
      </c>
      <c r="I8" s="6">
        <f>'Budget 2023-2024'!I8 *0.9</f>
        <v>9329.760000000002</v>
      </c>
      <c r="J8" s="6">
        <f>'Budget 2023-2024'!J8 *0.9</f>
        <v>9179.2800000000007</v>
      </c>
      <c r="K8" s="6">
        <f>'Budget 2023-2024'!K8 *0.9</f>
        <v>1504.8000000000002</v>
      </c>
      <c r="L8" s="6">
        <f>'Budget 2023-2024'!L8 *0.9</f>
        <v>30246.480000000003</v>
      </c>
      <c r="M8" s="6">
        <f>'Budget 2023-2024'!M8 *0.9</f>
        <v>9329.760000000002</v>
      </c>
      <c r="N8" s="6">
        <f>'Budget 2023-2024'!N8 *0.9</f>
        <v>1655.2800000000004</v>
      </c>
    </row>
    <row r="9" spans="1:16" x14ac:dyDescent="0.3">
      <c r="A9" s="1" t="s">
        <v>7</v>
      </c>
      <c r="B9" s="3">
        <v>39</v>
      </c>
      <c r="C9" s="6">
        <f>'Budget 2023-2024'!C9 *0.9</f>
        <v>712.80000000000007</v>
      </c>
      <c r="D9" s="6">
        <f>'Budget 2023-2024'!D9 *0.9</f>
        <v>2851.2000000000003</v>
      </c>
      <c r="E9" s="6">
        <f>'Budget 2023-2024'!E9 *0.9</f>
        <v>3278.88</v>
      </c>
      <c r="F9" s="6">
        <f>'Budget 2023-2024'!F9 *0.9</f>
        <v>0</v>
      </c>
      <c r="G9" s="6">
        <f>'Budget 2023-2024'!G9 *0.9</f>
        <v>0</v>
      </c>
      <c r="H9" s="6">
        <f>'Budget 2023-2024'!H9 *0.9</f>
        <v>21098.880000000001</v>
      </c>
      <c r="I9" s="6">
        <f>'Budget 2023-2024'!I9 *0.9</f>
        <v>8411.0400000000009</v>
      </c>
      <c r="J9" s="6">
        <f>'Budget 2023-2024'!J9 *0.9</f>
        <v>18960.48</v>
      </c>
      <c r="K9" s="6">
        <f>'Budget 2023-2024'!K9 *0.9</f>
        <v>4276.8</v>
      </c>
      <c r="L9" s="6">
        <f>'Budget 2023-2024'!L9 *0.9</f>
        <v>0</v>
      </c>
      <c r="M9" s="6">
        <f>'Budget 2023-2024'!M9 *0.9</f>
        <v>3136.32</v>
      </c>
      <c r="N9" s="6">
        <f>'Budget 2023-2024'!N9 *0.9</f>
        <v>784.08000000000015</v>
      </c>
    </row>
    <row r="10" spans="1:16" x14ac:dyDescent="0.3">
      <c r="A10" s="1" t="s">
        <v>8</v>
      </c>
      <c r="B10" s="3">
        <v>4</v>
      </c>
      <c r="C10" s="6">
        <f>'Budget 2023-2024'!C10 *0.9</f>
        <v>3484.8000000000006</v>
      </c>
      <c r="D10" s="6">
        <f>'Budget 2023-2024'!D10 *0.9</f>
        <v>6098.4000000000005</v>
      </c>
      <c r="E10" s="6">
        <f>'Budget 2023-2024'!E10 *0.9</f>
        <v>2090.88</v>
      </c>
      <c r="F10" s="6">
        <f>'Budget 2023-2024'!F10 *0.9</f>
        <v>1045.44</v>
      </c>
      <c r="G10" s="6">
        <f>'Budget 2023-2024'!G10 *0.9</f>
        <v>4356</v>
      </c>
      <c r="H10" s="6">
        <f>'Budget 2023-2024'!H10 *0.9</f>
        <v>0</v>
      </c>
      <c r="I10" s="6">
        <f>'Budget 2023-2024'!I10 *0.9</f>
        <v>3659.0400000000004</v>
      </c>
      <c r="J10" s="6">
        <f>'Budget 2023-2024'!J10 *0.9</f>
        <v>5227.2000000000007</v>
      </c>
      <c r="K10" s="6">
        <f>'Budget 2023-2024'!K10 *0.9</f>
        <v>871.20000000000016</v>
      </c>
      <c r="L10" s="6">
        <f>'Budget 2023-2024'!L10 *0.9</f>
        <v>4356</v>
      </c>
      <c r="M10" s="6">
        <f>'Budget 2023-2024'!M10 *0.9</f>
        <v>174.24000000000004</v>
      </c>
      <c r="N10" s="6">
        <f>'Budget 2023-2024'!N10 *0.9</f>
        <v>3833.2800000000007</v>
      </c>
    </row>
    <row r="11" spans="1:16" x14ac:dyDescent="0.3">
      <c r="A11" s="1" t="s">
        <v>9</v>
      </c>
      <c r="B11" s="3">
        <v>5</v>
      </c>
      <c r="C11" s="6">
        <f>'Budget 2023-2024'!C11 *0.9</f>
        <v>0</v>
      </c>
      <c r="D11" s="6">
        <f>'Budget 2023-2024'!D11 *0.9</f>
        <v>2536.38</v>
      </c>
      <c r="E11" s="6">
        <f>'Budget 2023-2024'!E11 *0.9</f>
        <v>0</v>
      </c>
      <c r="F11" s="6">
        <f>'Budget 2023-2024'!F11 *0.9</f>
        <v>676.36800000000005</v>
      </c>
      <c r="G11" s="6">
        <f>'Budget 2023-2024'!G11 *0.9</f>
        <v>0</v>
      </c>
      <c r="H11" s="6">
        <f>'Budget 2023-2024'!H11 *0.9</f>
        <v>0</v>
      </c>
      <c r="I11" s="6">
        <f>'Budget 2023-2024'!I11 *0.9</f>
        <v>5072.76</v>
      </c>
      <c r="J11" s="6">
        <f>'Budget 2023-2024'!J11 *0.9</f>
        <v>0</v>
      </c>
      <c r="K11" s="6">
        <f>'Budget 2023-2024'!K11 *0.9</f>
        <v>3381.8400000000006</v>
      </c>
      <c r="L11" s="6">
        <f>'Budget 2023-2024'!L11 *0.9</f>
        <v>16909.2</v>
      </c>
      <c r="M11" s="6">
        <f>'Budget 2023-2024'!M11 *0.9</f>
        <v>0</v>
      </c>
      <c r="N11" s="6">
        <f>'Budget 2023-2024'!N11 *0.9</f>
        <v>0</v>
      </c>
    </row>
    <row r="12" spans="1:16" x14ac:dyDescent="0.3">
      <c r="A12" s="1" t="s">
        <v>10</v>
      </c>
      <c r="B12" s="3">
        <v>48</v>
      </c>
      <c r="C12" s="6">
        <f>'Budget 2023-2024'!C12 *0.9</f>
        <v>605.88000000000011</v>
      </c>
      <c r="D12" s="6">
        <f>'Budget 2023-2024'!D12 *0.9</f>
        <v>0</v>
      </c>
      <c r="E12" s="6">
        <f>'Budget 2023-2024'!E12 *0.9</f>
        <v>0</v>
      </c>
      <c r="F12" s="6">
        <f>'Budget 2023-2024'!F12 *0.9</f>
        <v>2423.5200000000004</v>
      </c>
      <c r="G12" s="6">
        <f>'Budget 2023-2024'!G12 *0.9</f>
        <v>0</v>
      </c>
      <c r="H12" s="6">
        <f>'Budget 2023-2024'!H12 *0.9</f>
        <v>0</v>
      </c>
      <c r="I12" s="6">
        <f>'Budget 2023-2024'!I12 *0.9</f>
        <v>807.84</v>
      </c>
      <c r="J12" s="6">
        <f>'Budget 2023-2024'!J12 *0.9</f>
        <v>0</v>
      </c>
      <c r="K12" s="6">
        <f>'Budget 2023-2024'!K12 *0.9</f>
        <v>0</v>
      </c>
      <c r="L12" s="6">
        <f>'Budget 2023-2024'!L12 *0.9</f>
        <v>0</v>
      </c>
      <c r="M12" s="6">
        <f>'Budget 2023-2024'!M12 *0.9</f>
        <v>0</v>
      </c>
      <c r="N12" s="6">
        <f>'Budget 2023-2024'!N12 *0.9</f>
        <v>666.46800000000007</v>
      </c>
    </row>
    <row r="13" spans="1:16" x14ac:dyDescent="0.3">
      <c r="A13" s="1" t="s">
        <v>11</v>
      </c>
      <c r="B13" s="3">
        <v>38</v>
      </c>
      <c r="C13" s="6">
        <f>'Budget 2023-2024'!C13 *0.9</f>
        <v>31303.8</v>
      </c>
      <c r="D13" s="6">
        <f>'Budget 2023-2024'!D13 *0.9</f>
        <v>0</v>
      </c>
      <c r="E13" s="6">
        <f>'Budget 2023-2024'!E13 *0.9</f>
        <v>31303.8</v>
      </c>
      <c r="F13" s="6">
        <f>'Budget 2023-2024'!F13 *0.9</f>
        <v>0</v>
      </c>
      <c r="G13" s="6">
        <f>'Budget 2023-2024'!G13 *0.9</f>
        <v>0</v>
      </c>
      <c r="H13" s="6">
        <f>'Budget 2023-2024'!H13 *0.9</f>
        <v>31303.8</v>
      </c>
      <c r="I13" s="6">
        <f>'Budget 2023-2024'!I13 *0.9</f>
        <v>146084.4</v>
      </c>
      <c r="J13" s="6">
        <f>'Budget 2023-2024'!J13 *0.9</f>
        <v>208692.00000000003</v>
      </c>
      <c r="K13" s="6">
        <f>'Budget 2023-2024'!K13 *0.9</f>
        <v>135649.80000000002</v>
      </c>
      <c r="L13" s="6">
        <f>'Budget 2023-2024'!L13 *0.9</f>
        <v>52173.000000000007</v>
      </c>
      <c r="M13" s="6">
        <f>'Budget 2023-2024'!M13 *0.9</f>
        <v>0</v>
      </c>
      <c r="N13" s="6">
        <f>'Budget 2023-2024'!N13 *0.9</f>
        <v>34434.180000000008</v>
      </c>
    </row>
    <row r="14" spans="1:16" x14ac:dyDescent="0.3">
      <c r="A14" s="1" t="s">
        <v>12</v>
      </c>
      <c r="B14" s="3">
        <v>58</v>
      </c>
      <c r="C14" s="6">
        <f>'Budget 2023-2024'!C14 *0.9</f>
        <v>3148.2000000000003</v>
      </c>
      <c r="D14" s="6">
        <f>'Budget 2023-2024'!D14 *0.9</f>
        <v>629.64</v>
      </c>
      <c r="E14" s="6">
        <f>'Budget 2023-2024'!E14 *0.9</f>
        <v>8290.260000000002</v>
      </c>
      <c r="F14" s="6">
        <f>'Budget 2023-2024'!F14 *0.9</f>
        <v>4407.4800000000005</v>
      </c>
      <c r="G14" s="6">
        <f>'Budget 2023-2024'!G14 *0.9</f>
        <v>0</v>
      </c>
      <c r="H14" s="6">
        <f>'Budget 2023-2024'!H14 *0.9</f>
        <v>0</v>
      </c>
      <c r="I14" s="6">
        <f>'Budget 2023-2024'!I14 *0.9</f>
        <v>9444.6</v>
      </c>
      <c r="J14" s="6">
        <f>'Budget 2023-2024'!J14 *0.9</f>
        <v>4407.4800000000005</v>
      </c>
      <c r="K14" s="6">
        <f>'Budget 2023-2024'!K14 *0.9</f>
        <v>3148.2000000000003</v>
      </c>
      <c r="L14" s="6">
        <f>'Budget 2023-2024'!L14 *0.9</f>
        <v>4197.6000000000004</v>
      </c>
      <c r="M14" s="6">
        <f>'Budget 2023-2024'!M14 *0.9</f>
        <v>0</v>
      </c>
      <c r="N14" s="6">
        <f>'Budget 2023-2024'!N14 *0.9</f>
        <v>3463.0200000000004</v>
      </c>
    </row>
    <row r="15" spans="1:16" x14ac:dyDescent="0.3">
      <c r="A15" s="1" t="s">
        <v>13</v>
      </c>
      <c r="B15" s="3">
        <v>52</v>
      </c>
      <c r="C15" s="6">
        <f>'Budget 2023-2024'!C15 *0.9</f>
        <v>1552.3200000000002</v>
      </c>
      <c r="D15" s="6">
        <f>'Budget 2023-2024'!D15 *0.9</f>
        <v>277.2</v>
      </c>
      <c r="E15" s="6">
        <f>'Budget 2023-2024'!E15 *0.9</f>
        <v>498.96000000000009</v>
      </c>
      <c r="F15" s="6">
        <f>'Budget 2023-2024'!F15 *0.9</f>
        <v>221.76000000000005</v>
      </c>
      <c r="G15" s="6">
        <f>'Budget 2023-2024'!G15 *0.9</f>
        <v>5710.3200000000006</v>
      </c>
      <c r="H15" s="6">
        <f>'Budget 2023-2024'!H15 *0.9</f>
        <v>1275.1200000000001</v>
      </c>
      <c r="I15" s="6">
        <f>'Budget 2023-2024'!I15 *0.9</f>
        <v>1552.3200000000002</v>
      </c>
      <c r="J15" s="6">
        <f>'Budget 2023-2024'!J15 *0.9</f>
        <v>776.16000000000008</v>
      </c>
      <c r="K15" s="6">
        <f>'Budget 2023-2024'!K15 *0.9</f>
        <v>3492.7200000000003</v>
      </c>
      <c r="L15" s="6">
        <f>'Budget 2023-2024'!L15 *0.9</f>
        <v>1774.0800000000004</v>
      </c>
      <c r="M15" s="6">
        <f>'Budget 2023-2024'!M15 *0.9</f>
        <v>110.88000000000002</v>
      </c>
      <c r="N15" s="6">
        <f>'Budget 2023-2024'!N15 *0.9</f>
        <v>1707.5520000000004</v>
      </c>
    </row>
    <row r="16" spans="1:16" x14ac:dyDescent="0.3">
      <c r="A16" s="1" t="s">
        <v>14</v>
      </c>
      <c r="B16" s="3">
        <v>71</v>
      </c>
      <c r="C16" s="6">
        <f>'Budget 2023-2024'!C16 *0.9</f>
        <v>6640.92</v>
      </c>
      <c r="D16" s="6">
        <f>'Budget 2023-2024'!D16 *0.9</f>
        <v>11068.200000000003</v>
      </c>
      <c r="E16" s="6">
        <f>'Budget 2023-2024'!E16 *0.9</f>
        <v>4427.2800000000007</v>
      </c>
      <c r="F16" s="6">
        <f>'Budget 2023-2024'!F16 *0.9</f>
        <v>20093.04</v>
      </c>
      <c r="G16" s="6">
        <f>'Budget 2023-2024'!G16 *0.9</f>
        <v>0</v>
      </c>
      <c r="H16" s="6">
        <f>'Budget 2023-2024'!H16 *0.9</f>
        <v>4767.84</v>
      </c>
      <c r="I16" s="6">
        <f>'Budget 2023-2024'!I16 *0.9</f>
        <v>9365.4</v>
      </c>
      <c r="J16" s="6">
        <f>'Budget 2023-2024'!J16 *0.9</f>
        <v>9365.4</v>
      </c>
      <c r="K16" s="6">
        <f>'Budget 2023-2024'!K16 *0.9</f>
        <v>5959.8000000000011</v>
      </c>
      <c r="L16" s="6">
        <f>'Budget 2023-2024'!L16 *0.9</f>
        <v>33545.160000000003</v>
      </c>
      <c r="M16" s="6">
        <f>'Budget 2023-2024'!M16 *0.9</f>
        <v>0</v>
      </c>
      <c r="N16" s="6">
        <f>'Budget 2023-2024'!N16 *0.9</f>
        <v>7305.0120000000015</v>
      </c>
    </row>
    <row r="17" spans="1:14" x14ac:dyDescent="0.3">
      <c r="A17" s="1" t="s">
        <v>15</v>
      </c>
      <c r="B17" s="3">
        <v>33</v>
      </c>
      <c r="C17" s="6">
        <f>'Budget 2023-2024'!C17 *0.9</f>
        <v>277.2</v>
      </c>
      <c r="D17" s="6">
        <f>'Budget 2023-2024'!D17 *0.9</f>
        <v>396.00000000000006</v>
      </c>
      <c r="E17" s="6">
        <f>'Budget 2023-2024'!E17 *0.9</f>
        <v>1346.4000000000003</v>
      </c>
      <c r="F17" s="6">
        <f>'Budget 2023-2024'!F17 *0.9</f>
        <v>0</v>
      </c>
      <c r="G17" s="6">
        <f>'Budget 2023-2024'!G17 *0.9</f>
        <v>0</v>
      </c>
      <c r="H17" s="6">
        <f>'Budget 2023-2024'!H17 *0.9</f>
        <v>0</v>
      </c>
      <c r="I17" s="6">
        <f>'Budget 2023-2024'!I17 *0.9</f>
        <v>1089</v>
      </c>
      <c r="J17" s="6">
        <f>'Budget 2023-2024'!J17 *0.9</f>
        <v>1386.0000000000002</v>
      </c>
      <c r="K17" s="6">
        <f>'Budget 2023-2024'!K17 *0.9</f>
        <v>435.60000000000008</v>
      </c>
      <c r="L17" s="6">
        <f>'Budget 2023-2024'!L17 *0.9</f>
        <v>1089</v>
      </c>
      <c r="M17" s="6">
        <f>'Budget 2023-2024'!M17 *0.9</f>
        <v>0</v>
      </c>
      <c r="N17" s="6">
        <f>'Budget 2023-2024'!N17 *0.9</f>
        <v>304.92</v>
      </c>
    </row>
    <row r="18" spans="1:14" x14ac:dyDescent="0.3">
      <c r="A18" s="1" t="s">
        <v>16</v>
      </c>
      <c r="B18" s="3">
        <v>15</v>
      </c>
      <c r="C18" s="6">
        <f>'Budget 2023-2024'!C18 *0.9</f>
        <v>3069.0000000000005</v>
      </c>
      <c r="D18" s="6">
        <f>'Budget 2023-2024'!D18 *0.9</f>
        <v>0</v>
      </c>
      <c r="E18" s="6">
        <f>'Budget 2023-2024'!E18 *0.9</f>
        <v>6138.0000000000009</v>
      </c>
      <c r="F18" s="6">
        <f>'Budget 2023-2024'!F18 *0.9</f>
        <v>0</v>
      </c>
      <c r="G18" s="6">
        <f>'Budget 2023-2024'!G18 *0.9</f>
        <v>0</v>
      </c>
      <c r="H18" s="6">
        <f>'Budget 2023-2024'!H18 *0.9</f>
        <v>0</v>
      </c>
      <c r="I18" s="6">
        <f>'Budget 2023-2024'!I18 *0.9</f>
        <v>0</v>
      </c>
      <c r="J18" s="6">
        <f>'Budget 2023-2024'!J18 *0.9</f>
        <v>0</v>
      </c>
      <c r="K18" s="6">
        <f>'Budget 2023-2024'!K18 *0.9</f>
        <v>0</v>
      </c>
      <c r="L18" s="6">
        <f>'Budget 2023-2024'!L18 *0.9</f>
        <v>0</v>
      </c>
      <c r="M18" s="6">
        <f>'Budget 2023-2024'!M18 *0.9</f>
        <v>0</v>
      </c>
      <c r="N18" s="6">
        <f>'Budget 2023-2024'!N18 *0.9</f>
        <v>3375.900000000001</v>
      </c>
    </row>
    <row r="19" spans="1:14" x14ac:dyDescent="0.3">
      <c r="A19" s="1" t="s">
        <v>17</v>
      </c>
      <c r="B19" s="3">
        <v>56</v>
      </c>
      <c r="C19" s="6">
        <f>'Budget 2023-2024'!C19 *0.9</f>
        <v>14145.12</v>
      </c>
      <c r="D19" s="6">
        <f>'Budget 2023-2024'!D19 *0.9</f>
        <v>30396.960000000003</v>
      </c>
      <c r="E19" s="6">
        <f>'Budget 2023-2024'!E19 *0.9</f>
        <v>17154.720000000005</v>
      </c>
      <c r="F19" s="6">
        <f>'Budget 2023-2024'!F19 *0.9</f>
        <v>20465.280000000002</v>
      </c>
      <c r="G19" s="6">
        <f>'Budget 2023-2024'!G19 *0.9</f>
        <v>29193.120000000003</v>
      </c>
      <c r="H19" s="6">
        <f>'Budget 2023-2024'!H19 *0.9</f>
        <v>30096</v>
      </c>
      <c r="I19" s="6">
        <f>'Budget 2023-2024'!I19 *0.9</f>
        <v>31299.840000000007</v>
      </c>
      <c r="J19" s="6">
        <f>'Budget 2023-2024'!J19 *0.9</f>
        <v>11135.52</v>
      </c>
      <c r="K19" s="6">
        <f>'Budget 2023-2024'!K19 *0.9</f>
        <v>9028.8000000000011</v>
      </c>
      <c r="L19" s="6">
        <f>'Budget 2023-2024'!L19 *0.9</f>
        <v>7524</v>
      </c>
      <c r="M19" s="6">
        <f>'Budget 2023-2024'!M19 *0.9</f>
        <v>0</v>
      </c>
      <c r="N19" s="6">
        <f>'Budget 2023-2024'!N19 *0.9</f>
        <v>15559.632000000003</v>
      </c>
    </row>
    <row r="20" spans="1:14" x14ac:dyDescent="0.3">
      <c r="A20" s="1" t="s">
        <v>18</v>
      </c>
      <c r="B20" s="3">
        <v>31</v>
      </c>
      <c r="C20" s="6">
        <f>'Budget 2023-2024'!C20 *0.9</f>
        <v>0</v>
      </c>
      <c r="D20" s="6">
        <f>'Budget 2023-2024'!D20 *0.9</f>
        <v>0</v>
      </c>
      <c r="E20" s="6">
        <f>'Budget 2023-2024'!E20 *0.9</f>
        <v>4752</v>
      </c>
      <c r="F20" s="6">
        <f>'Budget 2023-2024'!F20 *0.9</f>
        <v>6930.0000000000009</v>
      </c>
      <c r="G20" s="6">
        <f>'Budget 2023-2024'!G20 *0.9</f>
        <v>1089</v>
      </c>
      <c r="H20" s="6">
        <f>'Budget 2023-2024'!H20 *0.9</f>
        <v>14751</v>
      </c>
      <c r="I20" s="6">
        <f>'Budget 2023-2024'!I20 *0.9</f>
        <v>7326.0000000000009</v>
      </c>
      <c r="J20" s="6">
        <f>'Budget 2023-2024'!J20 *0.9</f>
        <v>3465.0000000000005</v>
      </c>
      <c r="K20" s="6">
        <f>'Budget 2023-2024'!K20 *0.9</f>
        <v>15147</v>
      </c>
      <c r="L20" s="6">
        <f>'Budget 2023-2024'!L20 *0.9</f>
        <v>1485.0000000000002</v>
      </c>
      <c r="M20" s="6">
        <f>'Budget 2023-2024'!M20 *0.9</f>
        <v>1980</v>
      </c>
      <c r="N20" s="6">
        <f>'Budget 2023-2024'!N20 *0.9</f>
        <v>0</v>
      </c>
    </row>
    <row r="21" spans="1:14" x14ac:dyDescent="0.3">
      <c r="A21" s="1" t="s">
        <v>19</v>
      </c>
      <c r="B21" s="3">
        <v>6</v>
      </c>
      <c r="C21" s="6">
        <f>'Budget 2023-2024'!C21 *0.9</f>
        <v>0</v>
      </c>
      <c r="D21" s="6">
        <f>'Budget 2023-2024'!D21 *0.9</f>
        <v>13860.000000000002</v>
      </c>
      <c r="E21" s="6">
        <f>'Budget 2023-2024'!E21 *0.9</f>
        <v>0</v>
      </c>
      <c r="F21" s="6">
        <f>'Budget 2023-2024'!F21 *0.9</f>
        <v>0</v>
      </c>
      <c r="G21" s="6">
        <f>'Budget 2023-2024'!G21 *0.9</f>
        <v>5940.0000000000009</v>
      </c>
      <c r="H21" s="6">
        <f>'Budget 2023-2024'!H21 *0.9</f>
        <v>0</v>
      </c>
      <c r="I21" s="6">
        <f>'Budget 2023-2024'!I21 *0.9</f>
        <v>1188</v>
      </c>
      <c r="J21" s="6">
        <f>'Budget 2023-2024'!J21 *0.9</f>
        <v>9900</v>
      </c>
      <c r="K21" s="6">
        <f>'Budget 2023-2024'!K21 *0.9</f>
        <v>17424</v>
      </c>
      <c r="L21" s="6">
        <f>'Budget 2023-2024'!L21 *0.9</f>
        <v>0</v>
      </c>
      <c r="M21" s="6">
        <f>'Budget 2023-2024'!M21 *0.9</f>
        <v>4158</v>
      </c>
      <c r="N21" s="6">
        <f>'Budget 2023-2024'!N21 *0.9</f>
        <v>0</v>
      </c>
    </row>
    <row r="22" spans="1:14" x14ac:dyDescent="0.3">
      <c r="A22" s="1" t="s">
        <v>20</v>
      </c>
      <c r="B22" s="3">
        <v>37</v>
      </c>
      <c r="C22" s="6">
        <f>'Budget 2023-2024'!C22 *0.9</f>
        <v>0</v>
      </c>
      <c r="D22" s="6">
        <f>'Budget 2023-2024'!D22 *0.9</f>
        <v>0</v>
      </c>
      <c r="E22" s="6">
        <f>'Budget 2023-2024'!E22 *0.9</f>
        <v>0</v>
      </c>
      <c r="F22" s="6">
        <f>'Budget 2023-2024'!F22 *0.9</f>
        <v>0</v>
      </c>
      <c r="G22" s="6">
        <f>'Budget 2023-2024'!G22 *0.9</f>
        <v>0</v>
      </c>
      <c r="H22" s="6">
        <f>'Budget 2023-2024'!H22 *0.9</f>
        <v>0</v>
      </c>
      <c r="I22" s="6">
        <f>'Budget 2023-2024'!I22 *0.9</f>
        <v>12355.200000000003</v>
      </c>
      <c r="J22" s="6">
        <f>'Budget 2023-2024'!J22 *0.9</f>
        <v>0</v>
      </c>
      <c r="K22" s="6">
        <f>'Budget 2023-2024'!K22 *0.9</f>
        <v>1647.3600000000001</v>
      </c>
      <c r="L22" s="6">
        <f>'Budget 2023-2024'!L22 *0.9</f>
        <v>0</v>
      </c>
      <c r="M22" s="6">
        <f>'Budget 2023-2024'!M22 *0.9</f>
        <v>0</v>
      </c>
      <c r="N22" s="6">
        <f>'Budget 2023-2024'!N22 *0.9</f>
        <v>0</v>
      </c>
    </row>
    <row r="23" spans="1:14" x14ac:dyDescent="0.3">
      <c r="A23" s="1" t="s">
        <v>21</v>
      </c>
      <c r="B23" s="3">
        <v>24</v>
      </c>
      <c r="C23" s="6">
        <f>'Budget 2023-2024'!C23 *0.9</f>
        <v>1247.4000000000001</v>
      </c>
      <c r="D23" s="6">
        <f>'Budget 2023-2024'!D23 *0.9</f>
        <v>819.72</v>
      </c>
      <c r="E23" s="6">
        <f>'Budget 2023-2024'!E23 *0.9</f>
        <v>0</v>
      </c>
      <c r="F23" s="6">
        <f>'Budget 2023-2024'!F23 *0.9</f>
        <v>1960.2</v>
      </c>
      <c r="G23" s="6">
        <f>'Budget 2023-2024'!G23 *0.9</f>
        <v>0</v>
      </c>
      <c r="H23" s="6">
        <f>'Budget 2023-2024'!H23 *0.9</f>
        <v>1425.6000000000001</v>
      </c>
      <c r="I23" s="6">
        <f>'Budget 2023-2024'!I23 *0.9</f>
        <v>1425.6000000000001</v>
      </c>
      <c r="J23" s="6">
        <f>'Budget 2023-2024'!J23 *0.9</f>
        <v>5203.4400000000005</v>
      </c>
      <c r="K23" s="6">
        <f>'Budget 2023-2024'!K23 *0.9</f>
        <v>7128.0000000000009</v>
      </c>
      <c r="L23" s="6">
        <f>'Budget 2023-2024'!L23 *0.9</f>
        <v>4989.6000000000004</v>
      </c>
      <c r="M23" s="6">
        <f>'Budget 2023-2024'!M23 *0.9</f>
        <v>712.80000000000007</v>
      </c>
      <c r="N23" s="6">
        <f>'Budget 2023-2024'!N23 *0.9</f>
        <v>1372.14</v>
      </c>
    </row>
    <row r="24" spans="1:14" x14ac:dyDescent="0.3">
      <c r="A24" s="1" t="s">
        <v>22</v>
      </c>
      <c r="B24" s="3">
        <v>69</v>
      </c>
      <c r="C24" s="6">
        <f>'Budget 2023-2024'!C24 *0.9</f>
        <v>24235.200000000004</v>
      </c>
      <c r="D24" s="6">
        <f>'Budget 2023-2024'!D24 *0.9</f>
        <v>5702.4000000000005</v>
      </c>
      <c r="E24" s="6">
        <f>'Budget 2023-2024'!E24 *0.9</f>
        <v>12830.400000000001</v>
      </c>
      <c r="F24" s="6">
        <f>'Budget 2023-2024'!F24 *0.9</f>
        <v>15681.6</v>
      </c>
      <c r="G24" s="6">
        <f>'Budget 2023-2024'!G24 *0.9</f>
        <v>33644.160000000003</v>
      </c>
      <c r="H24" s="6">
        <f>'Budget 2023-2024'!H24 *0.9</f>
        <v>6842.880000000001</v>
      </c>
      <c r="I24" s="6">
        <f>'Budget 2023-2024'!I24 *0.9</f>
        <v>0</v>
      </c>
      <c r="J24" s="6">
        <f>'Budget 2023-2024'!J24 *0.9</f>
        <v>14256.000000000002</v>
      </c>
      <c r="K24" s="6">
        <f>'Budget 2023-2024'!K24 *0.9</f>
        <v>5417.2800000000007</v>
      </c>
      <c r="L24" s="6">
        <f>'Budget 2023-2024'!L24 *0.9</f>
        <v>18817.920000000002</v>
      </c>
      <c r="M24" s="6">
        <f>'Budget 2023-2024'!M24 *0.9</f>
        <v>0</v>
      </c>
      <c r="N24" s="6">
        <f>'Budget 2023-2024'!N24 *0.9</f>
        <v>26658.720000000005</v>
      </c>
    </row>
    <row r="25" spans="1:14" x14ac:dyDescent="0.3">
      <c r="A25" s="1" t="s">
        <v>23</v>
      </c>
      <c r="B25" s="3">
        <v>44</v>
      </c>
      <c r="C25" s="6">
        <f>'Budget 2023-2024'!C25 *0.9</f>
        <v>0</v>
      </c>
      <c r="D25" s="6">
        <f>'Budget 2023-2024'!D25 *0.9</f>
        <v>1540.44</v>
      </c>
      <c r="E25" s="6">
        <f>'Budget 2023-2024'!E25 *0.9</f>
        <v>7548.1559999999999</v>
      </c>
      <c r="F25" s="6">
        <f>'Budget 2023-2024'!F25 *0.9</f>
        <v>11399.256000000001</v>
      </c>
      <c r="G25" s="6">
        <f>'Budget 2023-2024'!G25 *0.9</f>
        <v>2464.7040000000002</v>
      </c>
      <c r="H25" s="6">
        <f>'Budget 2023-2024'!H25 *0.9</f>
        <v>1540.44</v>
      </c>
      <c r="I25" s="6">
        <f>'Budget 2023-2024'!I25 *0.9</f>
        <v>2464.7040000000002</v>
      </c>
      <c r="J25" s="6">
        <f>'Budget 2023-2024'!J25 *0.9</f>
        <v>0</v>
      </c>
      <c r="K25" s="6">
        <f>'Budget 2023-2024'!K25 *0.9</f>
        <v>3697.0559999999996</v>
      </c>
      <c r="L25" s="6">
        <f>'Budget 2023-2024'!L25 *0.9</f>
        <v>4159.188000000001</v>
      </c>
      <c r="M25" s="6">
        <f>'Budget 2023-2024'!M25 *0.9</f>
        <v>0</v>
      </c>
      <c r="N25" s="6">
        <f>'Budget 2023-2024'!N25 *0.9</f>
        <v>0</v>
      </c>
    </row>
    <row r="26" spans="1:14" x14ac:dyDescent="0.3">
      <c r="A26" s="1" t="s">
        <v>24</v>
      </c>
      <c r="B26" s="3">
        <v>26</v>
      </c>
      <c r="C26" s="6">
        <f>'Budget 2023-2024'!C26 *0.9</f>
        <v>2720.7575999999999</v>
      </c>
      <c r="D26" s="6">
        <f>'Budget 2023-2024'!D26 *0.9</f>
        <v>8656.9560000000001</v>
      </c>
      <c r="E26" s="6">
        <f>'Budget 2023-2024'!E26 *0.9</f>
        <v>11130.371999999999</v>
      </c>
      <c r="F26" s="6">
        <f>'Budget 2023-2024'!F26 *0.9</f>
        <v>11130.371999999999</v>
      </c>
      <c r="G26" s="6">
        <f>'Budget 2023-2024'!G26 *0.9</f>
        <v>7914.9312000000009</v>
      </c>
      <c r="H26" s="6">
        <f>'Budget 2023-2024'!H26 *0.9</f>
        <v>5194.173600000001</v>
      </c>
      <c r="I26" s="6">
        <f>'Budget 2023-2024'!I26 *0.9</f>
        <v>25970.868000000006</v>
      </c>
      <c r="J26" s="6">
        <f>'Budget 2023-2024'!J26 *0.9</f>
        <v>4946.8320000000003</v>
      </c>
      <c r="K26" s="6">
        <f>'Budget 2023-2024'!K26 *0.9</f>
        <v>1236.7080000000001</v>
      </c>
      <c r="L26" s="6">
        <f>'Budget 2023-2024'!L26 *0.9</f>
        <v>20034.669600000001</v>
      </c>
      <c r="M26" s="6">
        <f>'Budget 2023-2024'!M26 *0.9</f>
        <v>0</v>
      </c>
      <c r="N26" s="6">
        <f>'Budget 2023-2024'!N26 *0.9</f>
        <v>2992.8333600000001</v>
      </c>
    </row>
    <row r="27" spans="1:14" x14ac:dyDescent="0.3">
      <c r="A27" s="1" t="s">
        <v>25</v>
      </c>
      <c r="B27" s="3">
        <v>22</v>
      </c>
      <c r="C27" s="6">
        <f>'Budget 2023-2024'!C27 *0.9</f>
        <v>7983.3600000000015</v>
      </c>
      <c r="D27" s="6">
        <f>'Budget 2023-2024'!D27 *0.9</f>
        <v>15800.4</v>
      </c>
      <c r="E27" s="6">
        <f>'Budget 2023-2024'!E27 *0.9</f>
        <v>3326.4000000000005</v>
      </c>
      <c r="F27" s="6">
        <f>'Budget 2023-2024'!F27 *0.9</f>
        <v>0</v>
      </c>
      <c r="G27" s="6">
        <f>'Budget 2023-2024'!G27 *0.9</f>
        <v>0</v>
      </c>
      <c r="H27" s="6">
        <f>'Budget 2023-2024'!H27 *0.9</f>
        <v>1663.2000000000003</v>
      </c>
      <c r="I27" s="6">
        <f>'Budget 2023-2024'!I27 *0.9</f>
        <v>14469.840000000002</v>
      </c>
      <c r="J27" s="6">
        <f>'Budget 2023-2024'!J27 *0.9</f>
        <v>0</v>
      </c>
      <c r="K27" s="6">
        <f>'Budget 2023-2024'!K27 *0.9</f>
        <v>3492.7200000000003</v>
      </c>
      <c r="L27" s="6">
        <f>'Budget 2023-2024'!L27 *0.9</f>
        <v>4158</v>
      </c>
      <c r="M27" s="6">
        <f>'Budget 2023-2024'!M27 *0.9</f>
        <v>0</v>
      </c>
      <c r="N27" s="6">
        <f>'Budget 2023-2024'!N27 *0.9</f>
        <v>8781.6960000000017</v>
      </c>
    </row>
    <row r="28" spans="1:14" x14ac:dyDescent="0.3">
      <c r="A28" s="1" t="s">
        <v>26</v>
      </c>
      <c r="B28" s="3">
        <v>10</v>
      </c>
      <c r="C28" s="6">
        <f>'Budget 2023-2024'!C28 *0.9</f>
        <v>19641.600000000002</v>
      </c>
      <c r="D28" s="6">
        <f>'Budget 2023-2024'!D28 *0.9</f>
        <v>4419.3600000000006</v>
      </c>
      <c r="E28" s="6">
        <f>'Budget 2023-2024'!E28 *0.9</f>
        <v>11293.920000000002</v>
      </c>
      <c r="F28" s="6">
        <f>'Budget 2023-2024'!F28 *0.9</f>
        <v>17922.960000000003</v>
      </c>
      <c r="G28" s="6">
        <f>'Budget 2023-2024'!G28 *0.9</f>
        <v>0</v>
      </c>
      <c r="H28" s="6">
        <f>'Budget 2023-2024'!H28 *0.9</f>
        <v>12767.04</v>
      </c>
      <c r="I28" s="6">
        <f>'Budget 2023-2024'!I28 *0.9</f>
        <v>32163.120000000003</v>
      </c>
      <c r="J28" s="6">
        <f>'Budget 2023-2024'!J28 *0.9</f>
        <v>19641.600000000002</v>
      </c>
      <c r="K28" s="6">
        <f>'Budget 2023-2024'!K28 *0.9</f>
        <v>18414</v>
      </c>
      <c r="L28" s="6">
        <f>'Budget 2023-2024'!L28 *0.9</f>
        <v>5892.4800000000005</v>
      </c>
      <c r="M28" s="6">
        <f>'Budget 2023-2024'!M28 *0.9</f>
        <v>245.52</v>
      </c>
      <c r="N28" s="6">
        <f>'Budget 2023-2024'!N28 *0.9</f>
        <v>21605.760000000002</v>
      </c>
    </row>
    <row r="29" spans="1:14" x14ac:dyDescent="0.3">
      <c r="A29" s="1" t="s">
        <v>27</v>
      </c>
      <c r="B29" s="3">
        <v>36</v>
      </c>
      <c r="C29" s="6">
        <f>'Budget 2023-2024'!C29 *0.9</f>
        <v>11436.480000000001</v>
      </c>
      <c r="D29" s="6">
        <f>'Budget 2023-2024'!D29 *0.9</f>
        <v>2257.2000000000003</v>
      </c>
      <c r="E29" s="6">
        <f>'Budget 2023-2024'!E29 *0.9</f>
        <v>5417.2800000000007</v>
      </c>
      <c r="F29" s="6">
        <f>'Budget 2023-2024'!F29 *0.9</f>
        <v>6771.6000000000013</v>
      </c>
      <c r="G29" s="6">
        <f>'Budget 2023-2024'!G29 *0.9</f>
        <v>3912.4800000000009</v>
      </c>
      <c r="H29" s="6">
        <f>'Budget 2023-2024'!H29 *0.9</f>
        <v>4514.4000000000005</v>
      </c>
      <c r="I29" s="6">
        <f>'Budget 2023-2024'!I29 *0.9</f>
        <v>7524</v>
      </c>
      <c r="J29" s="6">
        <f>'Budget 2023-2024'!J29 *0.9</f>
        <v>3009.6000000000004</v>
      </c>
      <c r="K29" s="6">
        <f>'Budget 2023-2024'!K29 *0.9</f>
        <v>14295.600000000002</v>
      </c>
      <c r="L29" s="6">
        <f>'Budget 2023-2024'!L29 *0.9</f>
        <v>10383.120000000001</v>
      </c>
      <c r="M29" s="6">
        <f>'Budget 2023-2024'!M29 *0.9</f>
        <v>0</v>
      </c>
      <c r="N29" s="6">
        <f>'Budget 2023-2024'!N29 *0.9</f>
        <v>12580.128000000002</v>
      </c>
    </row>
    <row r="30" spans="1:14" x14ac:dyDescent="0.3">
      <c r="A30" s="1" t="s">
        <v>28</v>
      </c>
      <c r="B30" s="3">
        <v>43</v>
      </c>
      <c r="C30" s="6">
        <f>'Budget 2023-2024'!C30 *0.9</f>
        <v>0</v>
      </c>
      <c r="D30" s="6">
        <f>'Budget 2023-2024'!D30 *0.9</f>
        <v>7286.4000000000005</v>
      </c>
      <c r="E30" s="6">
        <f>'Budget 2023-2024'!E30 *0.9</f>
        <v>2185.92</v>
      </c>
      <c r="F30" s="6">
        <f>'Budget 2023-2024'!F30 *0.9</f>
        <v>23316.48</v>
      </c>
      <c r="G30" s="6">
        <f>'Budget 2023-2024'!G30 *0.9</f>
        <v>0</v>
      </c>
      <c r="H30" s="6">
        <f>'Budget 2023-2024'!H30 *0.9</f>
        <v>10929.600000000002</v>
      </c>
      <c r="I30" s="6">
        <f>'Budget 2023-2024'!I30 *0.9</f>
        <v>14937.120000000003</v>
      </c>
      <c r="J30" s="6">
        <f>'Budget 2023-2024'!J30 *0.9</f>
        <v>0</v>
      </c>
      <c r="K30" s="6">
        <f>'Budget 2023-2024'!K30 *0.9</f>
        <v>17851.68</v>
      </c>
      <c r="L30" s="6">
        <f>'Budget 2023-2024'!L30 *0.9</f>
        <v>21859.200000000004</v>
      </c>
      <c r="M30" s="6">
        <f>'Budget 2023-2024'!M30 *0.9</f>
        <v>13115.52</v>
      </c>
      <c r="N30" s="6">
        <f>'Budget 2023-2024'!N30 *0.9</f>
        <v>0</v>
      </c>
    </row>
    <row r="31" spans="1:14" x14ac:dyDescent="0.3">
      <c r="A31" s="1" t="s">
        <v>29</v>
      </c>
      <c r="B31" s="3">
        <v>41</v>
      </c>
      <c r="C31" s="6">
        <f>'Budget 2023-2024'!C31 *0.9</f>
        <v>0</v>
      </c>
      <c r="D31" s="6">
        <f>'Budget 2023-2024'!D31 *0.9</f>
        <v>0</v>
      </c>
      <c r="E31" s="6">
        <f>'Budget 2023-2024'!E31 *0.9</f>
        <v>12839.904000000002</v>
      </c>
      <c r="F31" s="6">
        <f>'Budget 2023-2024'!F31 *0.9</f>
        <v>4127.1120000000001</v>
      </c>
      <c r="G31" s="6">
        <f>'Budget 2023-2024'!G31 *0.9</f>
        <v>3592.1160000000004</v>
      </c>
      <c r="H31" s="6">
        <f>'Budget 2023-2024'!H31 *0.9</f>
        <v>5655.6720000000005</v>
      </c>
      <c r="I31" s="6">
        <f>'Budget 2023-2024'!I31 *0.9</f>
        <v>3974.2560000000003</v>
      </c>
      <c r="J31" s="6">
        <f>'Budget 2023-2024'!J31 *0.9</f>
        <v>3744.9720000000007</v>
      </c>
      <c r="K31" s="6">
        <f>'Budget 2023-2024'!K31 *0.9</f>
        <v>3057.1200000000003</v>
      </c>
      <c r="L31" s="6">
        <f>'Budget 2023-2024'!L31 *0.9</f>
        <v>8636.3640000000014</v>
      </c>
      <c r="M31" s="6">
        <f>'Budget 2023-2024'!M31 *0.9</f>
        <v>4891.3920000000007</v>
      </c>
      <c r="N31" s="6">
        <f>'Budget 2023-2024'!N31 *0.9</f>
        <v>0</v>
      </c>
    </row>
    <row r="32" spans="1:14" x14ac:dyDescent="0.3">
      <c r="A32" s="1" t="s">
        <v>30</v>
      </c>
      <c r="B32" s="3">
        <v>13</v>
      </c>
      <c r="C32" s="6">
        <f>'Budget 2023-2024'!C32 *0.9</f>
        <v>3231.36</v>
      </c>
      <c r="D32" s="6">
        <f>'Budget 2023-2024'!D32 *0.9</f>
        <v>617.7600000000001</v>
      </c>
      <c r="E32" s="6">
        <f>'Budget 2023-2024'!E32 *0.9</f>
        <v>0</v>
      </c>
      <c r="F32" s="6">
        <f>'Budget 2023-2024'!F32 *0.9</f>
        <v>0</v>
      </c>
      <c r="G32" s="6">
        <f>'Budget 2023-2024'!G32 *0.9</f>
        <v>475.2</v>
      </c>
      <c r="H32" s="6">
        <f>'Budget 2023-2024'!H32 *0.9</f>
        <v>950.4</v>
      </c>
      <c r="I32" s="6">
        <f>'Budget 2023-2024'!I32 *0.9</f>
        <v>4324.3200000000006</v>
      </c>
      <c r="J32" s="6">
        <f>'Budget 2023-2024'!J32 *0.9</f>
        <v>3468.96</v>
      </c>
      <c r="K32" s="6">
        <f>'Budget 2023-2024'!K32 *0.9</f>
        <v>13685.760000000002</v>
      </c>
      <c r="L32" s="6">
        <f>'Budget 2023-2024'!L32 *0.9</f>
        <v>9171.3600000000024</v>
      </c>
      <c r="M32" s="6">
        <f>'Budget 2023-2024'!M32 *0.9</f>
        <v>665.28000000000009</v>
      </c>
      <c r="N32" s="6">
        <f>'Budget 2023-2024'!N32 *0.9</f>
        <v>3554.4960000000005</v>
      </c>
    </row>
    <row r="33" spans="1:14" x14ac:dyDescent="0.3">
      <c r="A33" s="1" t="s">
        <v>31</v>
      </c>
      <c r="B33" s="3">
        <v>76</v>
      </c>
      <c r="C33" s="6">
        <f>'Budget 2023-2024'!C33 *0.9</f>
        <v>13400.640000000001</v>
      </c>
      <c r="D33" s="6">
        <f>'Budget 2023-2024'!D33 *0.9</f>
        <v>4989.6000000000004</v>
      </c>
      <c r="E33" s="6">
        <f>'Budget 2023-2024'!E33 *0.9</f>
        <v>1425.6000000000001</v>
      </c>
      <c r="F33" s="6">
        <f>'Budget 2023-2024'!F33 *0.9</f>
        <v>7128.0000000000009</v>
      </c>
      <c r="G33" s="6">
        <f>'Budget 2023-2024'!G33 *0.9</f>
        <v>7128.0000000000009</v>
      </c>
      <c r="H33" s="6">
        <f>'Budget 2023-2024'!H33 *0.9</f>
        <v>0</v>
      </c>
      <c r="I33" s="6">
        <f>'Budget 2023-2024'!I33 *0.9</f>
        <v>12972.960000000001</v>
      </c>
      <c r="J33" s="6">
        <f>'Budget 2023-2024'!J33 *0.9</f>
        <v>1425.6000000000001</v>
      </c>
      <c r="K33" s="6">
        <f>'Budget 2023-2024'!K33 *0.9</f>
        <v>19815.840000000004</v>
      </c>
      <c r="L33" s="6">
        <f>'Budget 2023-2024'!L33 *0.9</f>
        <v>20813.760000000002</v>
      </c>
      <c r="M33" s="6">
        <f>'Budget 2023-2024'!M33 *0.9</f>
        <v>285.12</v>
      </c>
      <c r="N33" s="6">
        <f>'Budget 2023-2024'!N33 *0.9</f>
        <v>14740.704000000002</v>
      </c>
    </row>
    <row r="34" spans="1:14" x14ac:dyDescent="0.3">
      <c r="A34" s="1" t="s">
        <v>32</v>
      </c>
      <c r="B34" s="3">
        <v>67</v>
      </c>
      <c r="C34" s="6">
        <f>'Budget 2023-2024'!C34 *0.9</f>
        <v>0</v>
      </c>
      <c r="D34" s="6">
        <f>'Budget 2023-2024'!D34 *0.9</f>
        <v>0</v>
      </c>
      <c r="E34" s="6">
        <f>'Budget 2023-2024'!E34 *0.9</f>
        <v>2772.0000000000005</v>
      </c>
      <c r="F34" s="6">
        <f>'Budget 2023-2024'!F34 *0.9</f>
        <v>0</v>
      </c>
      <c r="G34" s="6">
        <f>'Budget 2023-2024'!G34 *0.9</f>
        <v>0</v>
      </c>
      <c r="H34" s="6">
        <f>'Budget 2023-2024'!H34 *0.9</f>
        <v>332.64000000000004</v>
      </c>
      <c r="I34" s="6">
        <f>'Budget 2023-2024'!I34 *0.9</f>
        <v>0</v>
      </c>
      <c r="J34" s="6">
        <f>'Budget 2023-2024'!J34 *0.9</f>
        <v>3326.4000000000005</v>
      </c>
      <c r="K34" s="6">
        <f>'Budget 2023-2024'!K34 *0.9</f>
        <v>7096.3200000000015</v>
      </c>
      <c r="L34" s="6">
        <f>'Budget 2023-2024'!L34 *0.9</f>
        <v>2217.6</v>
      </c>
      <c r="M34" s="6">
        <f>'Budget 2023-2024'!M34 *0.9</f>
        <v>0</v>
      </c>
      <c r="N34" s="6">
        <f>'Budget 2023-2024'!N34 *0.9</f>
        <v>0</v>
      </c>
    </row>
    <row r="35" spans="1:14" x14ac:dyDescent="0.3">
      <c r="A35" s="1" t="s">
        <v>33</v>
      </c>
      <c r="B35" s="3">
        <v>74</v>
      </c>
      <c r="C35" s="6">
        <f>'Budget 2023-2024'!C35 *0.9</f>
        <v>0</v>
      </c>
      <c r="D35" s="6">
        <f>'Budget 2023-2024'!D35 *0.9</f>
        <v>0</v>
      </c>
      <c r="E35" s="6">
        <f>'Budget 2023-2024'!E35 *0.9</f>
        <v>0</v>
      </c>
      <c r="F35" s="6">
        <f>'Budget 2023-2024'!F35 *0.9</f>
        <v>0</v>
      </c>
      <c r="G35" s="6">
        <f>'Budget 2023-2024'!G35 *0.9</f>
        <v>396.00000000000006</v>
      </c>
      <c r="H35" s="6">
        <f>'Budget 2023-2024'!H35 *0.9</f>
        <v>3960</v>
      </c>
      <c r="I35" s="6">
        <f>'Budget 2023-2024'!I35 *0.9</f>
        <v>1584.0000000000002</v>
      </c>
      <c r="J35" s="6">
        <f>'Budget 2023-2024'!J35 *0.9</f>
        <v>0</v>
      </c>
      <c r="K35" s="6">
        <f>'Budget 2023-2024'!K35 *0.9</f>
        <v>0</v>
      </c>
      <c r="L35" s="6">
        <f>'Budget 2023-2024'!L35 *0.9</f>
        <v>1584.0000000000002</v>
      </c>
      <c r="M35" s="6">
        <f>'Budget 2023-2024'!M35 *0.9</f>
        <v>0</v>
      </c>
      <c r="N35" s="6">
        <f>'Budget 2023-2024'!N35 *0.9</f>
        <v>0</v>
      </c>
    </row>
    <row r="36" spans="1:14" x14ac:dyDescent="0.3">
      <c r="A36" s="1" t="s">
        <v>34</v>
      </c>
      <c r="B36" s="3">
        <v>65</v>
      </c>
      <c r="C36" s="6">
        <f>'Budget 2023-2024'!C36 *0.9</f>
        <v>2000.5920000000001</v>
      </c>
      <c r="D36" s="6">
        <f>'Budget 2023-2024'!D36 *0.9</f>
        <v>3501.0360000000005</v>
      </c>
      <c r="E36" s="6">
        <f>'Budget 2023-2024'!E36 *0.9</f>
        <v>6168.4920000000011</v>
      </c>
      <c r="F36" s="6">
        <f>'Budget 2023-2024'!F36 *0.9</f>
        <v>10836.54</v>
      </c>
      <c r="G36" s="6">
        <f>'Budget 2023-2024'!G36 *0.9</f>
        <v>8335.8000000000011</v>
      </c>
      <c r="H36" s="6">
        <f>'Budget 2023-2024'!H36 *0.9</f>
        <v>13670.712000000001</v>
      </c>
      <c r="I36" s="6">
        <f>'Budget 2023-2024'!I36 *0.9</f>
        <v>2500.7400000000002</v>
      </c>
      <c r="J36" s="6">
        <f>'Budget 2023-2024'!J36 *0.9</f>
        <v>10669.824000000001</v>
      </c>
      <c r="K36" s="6">
        <f>'Budget 2023-2024'!K36 *0.9</f>
        <v>0</v>
      </c>
      <c r="L36" s="6">
        <f>'Budget 2023-2024'!L36 *0.9</f>
        <v>3501.0360000000005</v>
      </c>
      <c r="M36" s="6">
        <f>'Budget 2023-2024'!M36 *0.9</f>
        <v>0</v>
      </c>
      <c r="N36" s="6">
        <f>'Budget 2023-2024'!N36 *0.9</f>
        <v>2200.6512000000002</v>
      </c>
    </row>
    <row r="37" spans="1:14" x14ac:dyDescent="0.3">
      <c r="A37" s="1" t="s">
        <v>35</v>
      </c>
      <c r="B37" s="3">
        <v>66</v>
      </c>
      <c r="C37" s="6">
        <f>'Budget 2023-2024'!C37 *0.9</f>
        <v>0</v>
      </c>
      <c r="D37" s="6">
        <f>'Budget 2023-2024'!D37 *0.9</f>
        <v>0</v>
      </c>
      <c r="E37" s="6">
        <f>'Budget 2023-2024'!E37 *0.9</f>
        <v>538.56000000000006</v>
      </c>
      <c r="F37" s="6">
        <f>'Budget 2023-2024'!F37 *0.9</f>
        <v>0</v>
      </c>
      <c r="G37" s="6">
        <f>'Budget 2023-2024'!G37 *0.9</f>
        <v>0</v>
      </c>
      <c r="H37" s="6">
        <f>'Budget 2023-2024'!H37 *0.9</f>
        <v>6732.0000000000009</v>
      </c>
      <c r="I37" s="6">
        <f>'Budget 2023-2024'!I37 *0.9</f>
        <v>0</v>
      </c>
      <c r="J37" s="6">
        <f>'Budget 2023-2024'!J37 *0.9</f>
        <v>0</v>
      </c>
      <c r="K37" s="6">
        <f>'Budget 2023-2024'!K37 *0.9</f>
        <v>0</v>
      </c>
      <c r="L37" s="6">
        <f>'Budget 2023-2024'!L37 *0.9</f>
        <v>0</v>
      </c>
      <c r="M37" s="6">
        <f>'Budget 2023-2024'!M37 *0.9</f>
        <v>134.64000000000001</v>
      </c>
      <c r="N37" s="6">
        <f>'Budget 2023-2024'!N37 *0.9</f>
        <v>0</v>
      </c>
    </row>
    <row r="38" spans="1:14" x14ac:dyDescent="0.3">
      <c r="A38" s="1" t="s">
        <v>36</v>
      </c>
      <c r="B38" s="3">
        <v>51</v>
      </c>
      <c r="C38" s="6">
        <f>'Budget 2023-2024'!C38 *0.9</f>
        <v>0</v>
      </c>
      <c r="D38" s="6">
        <f>'Budget 2023-2024'!D38 *0.9</f>
        <v>6296.4000000000005</v>
      </c>
      <c r="E38" s="6">
        <f>'Budget 2023-2024'!E38 *0.9</f>
        <v>16790.400000000001</v>
      </c>
      <c r="F38" s="6">
        <f>'Budget 2023-2024'!F38 *0.9</f>
        <v>14691.600000000002</v>
      </c>
      <c r="G38" s="6">
        <f>'Budget 2023-2024'!G38 *0.9</f>
        <v>12592.800000000001</v>
      </c>
      <c r="H38" s="6">
        <f>'Budget 2023-2024'!H38 *0.9</f>
        <v>78914.880000000019</v>
      </c>
      <c r="I38" s="6">
        <f>'Budget 2023-2024'!I38 *0.9</f>
        <v>5456.880000000001</v>
      </c>
      <c r="J38" s="6">
        <f>'Budget 2023-2024'!J38 *0.9</f>
        <v>839.5200000000001</v>
      </c>
      <c r="K38" s="6">
        <f>'Budget 2023-2024'!K38 *0.9</f>
        <v>31062.240000000005</v>
      </c>
      <c r="L38" s="6">
        <f>'Budget 2023-2024'!L38 *0.9</f>
        <v>55828.08</v>
      </c>
      <c r="M38" s="6">
        <f>'Budget 2023-2024'!M38 *0.9</f>
        <v>0</v>
      </c>
      <c r="N38" s="6">
        <f>'Budget 2023-2024'!N38 *0.9</f>
        <v>0</v>
      </c>
    </row>
    <row r="39" spans="1:14" x14ac:dyDescent="0.3">
      <c r="A39" s="1" t="s">
        <v>37</v>
      </c>
      <c r="B39" s="3">
        <v>32</v>
      </c>
      <c r="C39" s="6">
        <f>'Budget 2023-2024'!C39 *0.9</f>
        <v>0</v>
      </c>
      <c r="D39" s="6">
        <f>'Budget 2023-2024'!D39 *0.9</f>
        <v>0</v>
      </c>
      <c r="E39" s="6">
        <f>'Budget 2023-2024'!E39 *0.9</f>
        <v>0</v>
      </c>
      <c r="F39" s="6">
        <f>'Budget 2023-2024'!F39 *0.9</f>
        <v>1013.7600000000001</v>
      </c>
      <c r="G39" s="6">
        <f>'Budget 2023-2024'!G39 *0.9</f>
        <v>2534.4</v>
      </c>
      <c r="H39" s="6">
        <f>'Budget 2023-2024'!H39 *0.9</f>
        <v>0</v>
      </c>
      <c r="I39" s="6">
        <f>'Budget 2023-2024'!I39 *0.9</f>
        <v>5068.8</v>
      </c>
      <c r="J39" s="6">
        <f>'Budget 2023-2024'!J39 *0.9</f>
        <v>1520.64</v>
      </c>
      <c r="K39" s="6">
        <f>'Budget 2023-2024'!K39 *0.9</f>
        <v>8870.4</v>
      </c>
      <c r="L39" s="6">
        <f>'Budget 2023-2024'!L39 *0.9</f>
        <v>21542.400000000005</v>
      </c>
      <c r="M39" s="6">
        <f>'Budget 2023-2024'!M39 *0.9</f>
        <v>253.44000000000003</v>
      </c>
      <c r="N39" s="6">
        <f>'Budget 2023-2024'!N39 *0.9</f>
        <v>0</v>
      </c>
    </row>
    <row r="40" spans="1:14" x14ac:dyDescent="0.3">
      <c r="A40" s="1" t="s">
        <v>38</v>
      </c>
      <c r="B40" s="3">
        <v>49</v>
      </c>
      <c r="C40" s="6">
        <f>'Budget 2023-2024'!C40 *0.9</f>
        <v>6811.2000000000007</v>
      </c>
      <c r="D40" s="6">
        <f>'Budget 2023-2024'!D40 *0.9</f>
        <v>0</v>
      </c>
      <c r="E40" s="6">
        <f>'Budget 2023-2024'!E40 *0.9</f>
        <v>0</v>
      </c>
      <c r="F40" s="6">
        <f>'Budget 2023-2024'!F40 *0.9</f>
        <v>0</v>
      </c>
      <c r="G40" s="6">
        <f>'Budget 2023-2024'!G40 *0.9</f>
        <v>0</v>
      </c>
      <c r="H40" s="6">
        <f>'Budget 2023-2024'!H40 *0.9</f>
        <v>633.6</v>
      </c>
      <c r="I40" s="6">
        <f>'Budget 2023-2024'!I40 *0.9</f>
        <v>0</v>
      </c>
      <c r="J40" s="6">
        <f>'Budget 2023-2024'!J40 *0.9</f>
        <v>13780.800000000001</v>
      </c>
      <c r="K40" s="6">
        <f>'Budget 2023-2024'!K40 *0.9</f>
        <v>10771.200000000003</v>
      </c>
      <c r="L40" s="6">
        <f>'Budget 2023-2024'!L40 *0.9</f>
        <v>9820.8000000000011</v>
      </c>
      <c r="M40" s="6">
        <f>'Budget 2023-2024'!M40 *0.9</f>
        <v>0</v>
      </c>
      <c r="N40" s="6">
        <f>'Budget 2023-2024'!N40 *0.9</f>
        <v>7492.3200000000015</v>
      </c>
    </row>
    <row r="41" spans="1:14" x14ac:dyDescent="0.3">
      <c r="A41" s="1" t="s">
        <v>39</v>
      </c>
      <c r="B41" s="3">
        <v>9</v>
      </c>
      <c r="C41" s="6">
        <f>'Budget 2023-2024'!C41 *0.9</f>
        <v>0</v>
      </c>
      <c r="D41" s="6">
        <f>'Budget 2023-2024'!D41 *0.9</f>
        <v>0</v>
      </c>
      <c r="E41" s="6">
        <f>'Budget 2023-2024'!E41 *0.9</f>
        <v>38412</v>
      </c>
      <c r="F41" s="6">
        <f>'Budget 2023-2024'!F41 *0.9</f>
        <v>4609.4400000000005</v>
      </c>
      <c r="G41" s="6">
        <f>'Budget 2023-2024'!G41 *0.9</f>
        <v>0</v>
      </c>
      <c r="H41" s="6">
        <f>'Budget 2023-2024'!H41 *0.9</f>
        <v>0</v>
      </c>
      <c r="I41" s="6">
        <f>'Budget 2023-2024'!I41 *0.9</f>
        <v>2304.7200000000003</v>
      </c>
      <c r="J41" s="6">
        <f>'Budget 2023-2024'!J41 *0.9</f>
        <v>0</v>
      </c>
      <c r="K41" s="6">
        <f>'Budget 2023-2024'!K41 *0.9</f>
        <v>0</v>
      </c>
      <c r="L41" s="6">
        <f>'Budget 2023-2024'!L41 *0.9</f>
        <v>0</v>
      </c>
      <c r="M41" s="6">
        <f>'Budget 2023-2024'!M41 *0.9</f>
        <v>0</v>
      </c>
      <c r="N41" s="6">
        <f>'Budget 2023-2024'!N41 *0.9</f>
        <v>0</v>
      </c>
    </row>
    <row r="42" spans="1:14" x14ac:dyDescent="0.3">
      <c r="A42" s="1" t="s">
        <v>40</v>
      </c>
      <c r="B42" s="3">
        <v>72</v>
      </c>
      <c r="C42" s="6">
        <f>'Budget 2023-2024'!C42 *0.9</f>
        <v>3307.3920000000007</v>
      </c>
      <c r="D42" s="6">
        <f>'Budget 2023-2024'!D42 *0.9</f>
        <v>20671.200000000004</v>
      </c>
      <c r="E42" s="6">
        <f>'Budget 2023-2024'!E42 *0.9</f>
        <v>0</v>
      </c>
      <c r="F42" s="6">
        <f>'Budget 2023-2024'!F42 *0.9</f>
        <v>0</v>
      </c>
      <c r="G42" s="6">
        <f>'Budget 2023-2024'!G42 *0.9</f>
        <v>11575.871999999999</v>
      </c>
      <c r="H42" s="6">
        <f>'Budget 2023-2024'!H42 *0.9</f>
        <v>11024.640000000001</v>
      </c>
      <c r="I42" s="6">
        <f>'Budget 2023-2024'!I42 *0.9</f>
        <v>15158.880000000001</v>
      </c>
      <c r="J42" s="6">
        <f>'Budget 2023-2024'!J42 *0.9</f>
        <v>0</v>
      </c>
      <c r="K42" s="6">
        <f>'Budget 2023-2024'!K42 *0.9</f>
        <v>27837.216000000004</v>
      </c>
      <c r="L42" s="6">
        <f>'Budget 2023-2024'!L42 *0.9</f>
        <v>10197.792000000001</v>
      </c>
      <c r="M42" s="6">
        <f>'Budget 2023-2024'!M42 *0.9</f>
        <v>0</v>
      </c>
      <c r="N42" s="6">
        <f>'Budget 2023-2024'!N42 *0.9</f>
        <v>3638.1312000000007</v>
      </c>
    </row>
    <row r="43" spans="1:14" x14ac:dyDescent="0.3">
      <c r="A43" s="1" t="s">
        <v>41</v>
      </c>
      <c r="B43" s="3">
        <v>30</v>
      </c>
      <c r="C43" s="6">
        <f>'Budget 2023-2024'!C43 *0.9</f>
        <v>0</v>
      </c>
      <c r="D43" s="6">
        <f>'Budget 2023-2024'!D43 *0.9</f>
        <v>6151.4640000000009</v>
      </c>
      <c r="E43" s="6">
        <f>'Budget 2023-2024'!E43 *0.9</f>
        <v>410.09760000000006</v>
      </c>
      <c r="F43" s="6">
        <f>'Budget 2023-2024'!F43 *0.9</f>
        <v>615.14640000000009</v>
      </c>
      <c r="G43" s="6">
        <f>'Budget 2023-2024'!G43 *0.9</f>
        <v>12302.928000000002</v>
      </c>
      <c r="H43" s="6">
        <f>'Budget 2023-2024'!H43 *0.9</f>
        <v>8201.9520000000011</v>
      </c>
      <c r="I43" s="6">
        <f>'Budget 2023-2024'!I43 *0.9</f>
        <v>4100.9760000000006</v>
      </c>
      <c r="J43" s="6">
        <f>'Budget 2023-2024'!J43 *0.9</f>
        <v>25836.148800000003</v>
      </c>
      <c r="K43" s="6">
        <f>'Budget 2023-2024'!K43 *0.9</f>
        <v>6356.5128000000013</v>
      </c>
      <c r="L43" s="6">
        <f>'Budget 2023-2024'!L43 *0.9</f>
        <v>3075.7320000000004</v>
      </c>
      <c r="M43" s="6">
        <f>'Budget 2023-2024'!M43 *0.9</f>
        <v>820.19520000000011</v>
      </c>
      <c r="N43" s="6">
        <f>'Budget 2023-2024'!N43 *0.9</f>
        <v>0</v>
      </c>
    </row>
    <row r="44" spans="1:14" x14ac:dyDescent="0.3">
      <c r="A44" s="1" t="s">
        <v>42</v>
      </c>
      <c r="B44" s="3">
        <v>8</v>
      </c>
      <c r="C44" s="6">
        <f>'Budget 2023-2024'!C44 *0.9</f>
        <v>0</v>
      </c>
      <c r="D44" s="6">
        <f>'Budget 2023-2024'!D44 *0.9</f>
        <v>0</v>
      </c>
      <c r="E44" s="6">
        <f>'Budget 2023-2024'!E44 *0.9</f>
        <v>0</v>
      </c>
      <c r="F44" s="6">
        <f>'Budget 2023-2024'!F44 *0.9</f>
        <v>15840</v>
      </c>
      <c r="G44" s="6">
        <f>'Budget 2023-2024'!G44 *0.9</f>
        <v>0</v>
      </c>
      <c r="H44" s="6">
        <f>'Budget 2023-2024'!H44 *0.9</f>
        <v>9504</v>
      </c>
      <c r="I44" s="6">
        <f>'Budget 2023-2024'!I44 *0.9</f>
        <v>6336.0000000000009</v>
      </c>
      <c r="J44" s="6">
        <f>'Budget 2023-2024'!J44 *0.9</f>
        <v>9504</v>
      </c>
      <c r="K44" s="6">
        <f>'Budget 2023-2024'!K44 *0.9</f>
        <v>11404.800000000001</v>
      </c>
      <c r="L44" s="6">
        <f>'Budget 2023-2024'!L44 *0.9</f>
        <v>9504</v>
      </c>
      <c r="M44" s="6">
        <f>'Budget 2023-2024'!M44 *0.9</f>
        <v>633.6</v>
      </c>
      <c r="N44" s="6">
        <f>'Budget 2023-2024'!N44 *0.9</f>
        <v>0</v>
      </c>
    </row>
    <row r="45" spans="1:14" x14ac:dyDescent="0.3">
      <c r="A45" s="1" t="s">
        <v>43</v>
      </c>
      <c r="B45" s="3">
        <v>25</v>
      </c>
      <c r="C45" s="6">
        <f>'Budget 2023-2024'!C45 *0.9</f>
        <v>0</v>
      </c>
      <c r="D45" s="6">
        <f>'Budget 2023-2024'!D45 *0.9</f>
        <v>0</v>
      </c>
      <c r="E45" s="6">
        <f>'Budget 2023-2024'!E45 *0.9</f>
        <v>0</v>
      </c>
      <c r="F45" s="6">
        <f>'Budget 2023-2024'!F45 *0.9</f>
        <v>0</v>
      </c>
      <c r="G45" s="6">
        <f>'Budget 2023-2024'!G45 *0.9</f>
        <v>0</v>
      </c>
      <c r="H45" s="6">
        <f>'Budget 2023-2024'!H45 *0.9</f>
        <v>6874.56</v>
      </c>
      <c r="I45" s="6">
        <f>'Budget 2023-2024'!I45 *0.9</f>
        <v>5654.880000000001</v>
      </c>
      <c r="J45" s="6">
        <f>'Budget 2023-2024'!J45 *0.9</f>
        <v>554.4</v>
      </c>
      <c r="K45" s="6">
        <f>'Budget 2023-2024'!K45 *0.9</f>
        <v>2661.1200000000003</v>
      </c>
      <c r="L45" s="6">
        <f>'Budget 2023-2024'!L45 *0.9</f>
        <v>1663.2000000000003</v>
      </c>
      <c r="M45" s="6">
        <f>'Budget 2023-2024'!M45 *0.9</f>
        <v>0</v>
      </c>
      <c r="N45" s="6">
        <f>'Budget 2023-2024'!N45 *0.9</f>
        <v>0</v>
      </c>
    </row>
    <row r="46" spans="1:14" x14ac:dyDescent="0.3">
      <c r="A46" s="1" t="s">
        <v>44</v>
      </c>
      <c r="B46" s="3">
        <v>77</v>
      </c>
      <c r="C46" s="6">
        <f>'Budget 2023-2024'!C46 *0.9</f>
        <v>8751.6</v>
      </c>
      <c r="D46" s="6">
        <f>'Budget 2023-2024'!D46 *0.9</f>
        <v>3603.6000000000004</v>
      </c>
      <c r="E46" s="6">
        <f>'Budget 2023-2024'!E46 *0.9</f>
        <v>7207.2000000000007</v>
      </c>
      <c r="F46" s="6">
        <f>'Budget 2023-2024'!F46 *0.9</f>
        <v>3088.8000000000006</v>
      </c>
      <c r="G46" s="6">
        <f>'Budget 2023-2024'!G46 *0.9</f>
        <v>205.92000000000002</v>
      </c>
      <c r="H46" s="6">
        <f>'Budget 2023-2024'!H46 *0.9</f>
        <v>1544.4000000000003</v>
      </c>
      <c r="I46" s="6">
        <f>'Budget 2023-2024'!I46 *0.9</f>
        <v>5353.92</v>
      </c>
      <c r="J46" s="6">
        <f>'Budget 2023-2024'!J46 *0.9</f>
        <v>6692.4000000000005</v>
      </c>
      <c r="K46" s="6">
        <f>'Budget 2023-2024'!K46 *0.9</f>
        <v>7207.2000000000007</v>
      </c>
      <c r="L46" s="6">
        <f>'Budget 2023-2024'!L46 *0.9</f>
        <v>8133.84</v>
      </c>
      <c r="M46" s="6">
        <f>'Budget 2023-2024'!M46 *0.9</f>
        <v>3088.8000000000006</v>
      </c>
      <c r="N46" s="6">
        <f>'Budget 2023-2024'!N46 *0.9</f>
        <v>9626.760000000002</v>
      </c>
    </row>
    <row r="47" spans="1:14" x14ac:dyDescent="0.3">
      <c r="A47" s="1" t="s">
        <v>45</v>
      </c>
      <c r="B47" s="3">
        <v>70</v>
      </c>
      <c r="C47" s="6">
        <f>'Budget 2023-2024'!C47 *0.9</f>
        <v>1782.0000000000002</v>
      </c>
      <c r="D47" s="6">
        <f>'Budget 2023-2024'!D47 *0.9</f>
        <v>4158</v>
      </c>
      <c r="E47" s="6">
        <f>'Budget 2023-2024'!E47 *0.9</f>
        <v>4752</v>
      </c>
      <c r="F47" s="6">
        <f>'Budget 2023-2024'!F47 *0.9</f>
        <v>13780.800000000001</v>
      </c>
      <c r="G47" s="6">
        <f>'Budget 2023-2024'!G47 *0.9</f>
        <v>4752</v>
      </c>
      <c r="H47" s="6">
        <f>'Budget 2023-2024'!H47 *0.9</f>
        <v>4158</v>
      </c>
      <c r="I47" s="6">
        <f>'Budget 2023-2024'!I47 *0.9</f>
        <v>11404.800000000001</v>
      </c>
      <c r="J47" s="6">
        <f>'Budget 2023-2024'!J47 *0.9</f>
        <v>9860.4</v>
      </c>
      <c r="K47" s="6">
        <f>'Budget 2023-2024'!K47 *0.9</f>
        <v>0</v>
      </c>
      <c r="L47" s="6">
        <f>'Budget 2023-2024'!L47 *0.9</f>
        <v>8197.2000000000007</v>
      </c>
      <c r="M47" s="6">
        <f>'Budget 2023-2024'!M47 *0.9</f>
        <v>0</v>
      </c>
      <c r="N47" s="6">
        <f>'Budget 2023-2024'!N47 *0.9</f>
        <v>1960.2000000000005</v>
      </c>
    </row>
    <row r="48" spans="1:14" x14ac:dyDescent="0.3">
      <c r="A48" s="1" t="s">
        <v>46</v>
      </c>
      <c r="B48" s="3">
        <v>55</v>
      </c>
      <c r="C48" s="6">
        <f>'Budget 2023-2024'!C48 *0.9</f>
        <v>4752</v>
      </c>
      <c r="D48" s="6">
        <f>'Budget 2023-2024'!D48 *0.9</f>
        <v>2280.96</v>
      </c>
      <c r="E48" s="6">
        <f>'Budget 2023-2024'!E48 *0.9</f>
        <v>760.32</v>
      </c>
      <c r="F48" s="6">
        <f>'Budget 2023-2024'!F48 *0.9</f>
        <v>5132.1600000000008</v>
      </c>
      <c r="G48" s="6">
        <f>'Budget 2023-2024'!G48 *0.9</f>
        <v>2280.96</v>
      </c>
      <c r="H48" s="6">
        <f>'Budget 2023-2024'!H48 *0.9</f>
        <v>11404.800000000001</v>
      </c>
      <c r="I48" s="6">
        <f>'Budget 2023-2024'!I48 *0.9</f>
        <v>0</v>
      </c>
      <c r="J48" s="6">
        <f>'Budget 2023-2024'!J48 *0.9</f>
        <v>7603.2</v>
      </c>
      <c r="K48" s="6">
        <f>'Budget 2023-2024'!K48 *0.9</f>
        <v>5512.3200000000006</v>
      </c>
      <c r="L48" s="6">
        <f>'Budget 2023-2024'!L48 *0.9</f>
        <v>34404.480000000003</v>
      </c>
      <c r="M48" s="6">
        <f>'Budget 2023-2024'!M48 *0.9</f>
        <v>1140.48</v>
      </c>
      <c r="N48" s="6">
        <f>'Budget 2023-2024'!N48 *0.9</f>
        <v>5227.2000000000007</v>
      </c>
    </row>
    <row r="49" spans="1:14" x14ac:dyDescent="0.3">
      <c r="A49" s="1" t="s">
        <v>47</v>
      </c>
      <c r="B49" s="3">
        <v>16</v>
      </c>
      <c r="C49" s="6">
        <f>'Budget 2023-2024'!C49 *0.9</f>
        <v>4146.12</v>
      </c>
      <c r="D49" s="6">
        <f>'Budget 2023-2024'!D49 *0.9</f>
        <v>0</v>
      </c>
      <c r="E49" s="6">
        <f>'Budget 2023-2024'!E49 *0.9</f>
        <v>12852.972</v>
      </c>
      <c r="F49" s="6">
        <f>'Budget 2023-2024'!F49 *0.9</f>
        <v>5528.1600000000008</v>
      </c>
      <c r="G49" s="6">
        <f>'Budget 2023-2024'!G49 *0.9</f>
        <v>2487.6720000000005</v>
      </c>
      <c r="H49" s="6">
        <f>'Budget 2023-2024'!H49 *0.9</f>
        <v>11747.34</v>
      </c>
      <c r="I49" s="6">
        <f>'Budget 2023-2024'!I49 *0.9</f>
        <v>6910.2000000000007</v>
      </c>
      <c r="J49" s="6">
        <f>'Budget 2023-2024'!J49 *0.9</f>
        <v>8706.8520000000008</v>
      </c>
      <c r="K49" s="6">
        <f>'Budget 2023-2024'!K49 *0.9</f>
        <v>23909.292000000001</v>
      </c>
      <c r="L49" s="6">
        <f>'Budget 2023-2024'!L49 *0.9</f>
        <v>0</v>
      </c>
      <c r="M49" s="6">
        <f>'Budget 2023-2024'!M49 *0.9</f>
        <v>6771.996000000001</v>
      </c>
      <c r="N49" s="6">
        <f>'Budget 2023-2024'!N49 *0.9</f>
        <v>4560.7320000000009</v>
      </c>
    </row>
    <row r="50" spans="1:14" x14ac:dyDescent="0.3">
      <c r="A50" s="1" t="s">
        <v>48</v>
      </c>
      <c r="B50" s="3">
        <v>53</v>
      </c>
      <c r="C50" s="6">
        <f>'Budget 2023-2024'!C50 *0.9</f>
        <v>0</v>
      </c>
      <c r="D50" s="6">
        <f>'Budget 2023-2024'!D50 *0.9</f>
        <v>9611.7120000000014</v>
      </c>
      <c r="E50" s="6">
        <f>'Budget 2023-2024'!E50 *0.9</f>
        <v>2597.7600000000002</v>
      </c>
      <c r="F50" s="6">
        <f>'Budget 2023-2024'!F50 *0.9</f>
        <v>31952.448</v>
      </c>
      <c r="G50" s="6">
        <f>'Budget 2023-2024'!G50 *0.9</f>
        <v>0</v>
      </c>
      <c r="H50" s="6">
        <f>'Budget 2023-2024'!H50 *0.9</f>
        <v>0</v>
      </c>
      <c r="I50" s="6">
        <f>'Budget 2023-2024'!I50 *0.9</f>
        <v>7533.5040000000017</v>
      </c>
      <c r="J50" s="6">
        <f>'Budget 2023-2024'!J50 *0.9</f>
        <v>779.32799999999986</v>
      </c>
      <c r="K50" s="6">
        <f>'Budget 2023-2024'!K50 *0.9</f>
        <v>5715.072000000001</v>
      </c>
      <c r="L50" s="6">
        <f>'Budget 2023-2024'!L50 *0.9</f>
        <v>20782.080000000002</v>
      </c>
      <c r="M50" s="6">
        <f>'Budget 2023-2024'!M50 *0.9</f>
        <v>6494.4000000000005</v>
      </c>
      <c r="N50" s="6">
        <f>'Budget 2023-2024'!N50 *0.9</f>
        <v>0</v>
      </c>
    </row>
    <row r="51" spans="1:14" x14ac:dyDescent="0.3">
      <c r="A51" s="1" t="s">
        <v>49</v>
      </c>
      <c r="B51" s="3">
        <v>11</v>
      </c>
      <c r="C51" s="6">
        <f>'Budget 2023-2024'!C51 *0.9</f>
        <v>2328.4800000000005</v>
      </c>
      <c r="D51" s="6">
        <f>'Budget 2023-2024'!D51 *0.9</f>
        <v>1663.2000000000003</v>
      </c>
      <c r="E51" s="6">
        <f>'Budget 2023-2024'!E51 *0.9</f>
        <v>0</v>
      </c>
      <c r="F51" s="6">
        <f>'Budget 2023-2024'!F51 *0.9</f>
        <v>2494.8000000000002</v>
      </c>
      <c r="G51" s="6">
        <f>'Budget 2023-2024'!G51 *0.9</f>
        <v>831.60000000000014</v>
      </c>
      <c r="H51" s="6">
        <f>'Budget 2023-2024'!H51 *0.9</f>
        <v>14137.200000000003</v>
      </c>
      <c r="I51" s="6">
        <f>'Budget 2023-2024'!I51 *0.9</f>
        <v>9979.2000000000007</v>
      </c>
      <c r="J51" s="6">
        <f>'Budget 2023-2024'!J51 *0.9</f>
        <v>14968.800000000001</v>
      </c>
      <c r="K51" s="6">
        <f>'Budget 2023-2024'!K51 *0.9</f>
        <v>8648.6400000000012</v>
      </c>
      <c r="L51" s="6">
        <f>'Budget 2023-2024'!L51 *0.9</f>
        <v>1663.2000000000003</v>
      </c>
      <c r="M51" s="6">
        <f>'Budget 2023-2024'!M51 *0.9</f>
        <v>1663.2000000000003</v>
      </c>
      <c r="N51" s="6">
        <f>'Budget 2023-2024'!N51 *0.9</f>
        <v>2561.3280000000004</v>
      </c>
    </row>
    <row r="52" spans="1:14" x14ac:dyDescent="0.3">
      <c r="A52" s="1" t="s">
        <v>50</v>
      </c>
      <c r="B52" s="3">
        <v>12</v>
      </c>
      <c r="C52" s="6">
        <f>'Budget 2023-2024'!C52 *0.9</f>
        <v>0</v>
      </c>
      <c r="D52" s="6">
        <f>'Budget 2023-2024'!D52 *0.9</f>
        <v>10834.560000000001</v>
      </c>
      <c r="E52" s="6">
        <f>'Budget 2023-2024'!E52 *0.9</f>
        <v>30096</v>
      </c>
      <c r="F52" s="6">
        <f>'Budget 2023-2024'!F52 *0.9</f>
        <v>12038.400000000001</v>
      </c>
      <c r="G52" s="6">
        <f>'Budget 2023-2024'!G52 *0.9</f>
        <v>0</v>
      </c>
      <c r="H52" s="6">
        <f>'Budget 2023-2024'!H52 *0.9</f>
        <v>0</v>
      </c>
      <c r="I52" s="6">
        <f>'Budget 2023-2024'!I52 *0.9</f>
        <v>0</v>
      </c>
      <c r="J52" s="6">
        <f>'Budget 2023-2024'!J52 *0.9</f>
        <v>0</v>
      </c>
      <c r="K52" s="6">
        <f>'Budget 2023-2024'!K52 *0.9</f>
        <v>15048</v>
      </c>
      <c r="L52" s="6">
        <f>'Budget 2023-2024'!L52 *0.9</f>
        <v>13242.24</v>
      </c>
      <c r="M52" s="6">
        <f>'Budget 2023-2024'!M52 *0.9</f>
        <v>601.92000000000007</v>
      </c>
      <c r="N52" s="6">
        <f>'Budget 2023-2024'!N52 *0.9</f>
        <v>0</v>
      </c>
    </row>
    <row r="53" spans="1:14" x14ac:dyDescent="0.3">
      <c r="A53" s="1" t="s">
        <v>51</v>
      </c>
      <c r="B53" s="3">
        <v>59</v>
      </c>
      <c r="C53" s="6">
        <f>'Budget 2023-2024'!C53 *0.9</f>
        <v>37026</v>
      </c>
      <c r="D53" s="6">
        <f>'Budget 2023-2024'!D53 *0.9</f>
        <v>0</v>
      </c>
      <c r="E53" s="6">
        <f>'Budget 2023-2024'!E53 *0.9</f>
        <v>5662.8000000000011</v>
      </c>
      <c r="F53" s="6">
        <f>'Budget 2023-2024'!F53 *0.9</f>
        <v>47916.000000000007</v>
      </c>
      <c r="G53" s="6">
        <f>'Budget 2023-2024'!G53 *0.9</f>
        <v>40510.800000000003</v>
      </c>
      <c r="H53" s="6">
        <f>'Budget 2023-2024'!H53 *0.9</f>
        <v>28314.000000000004</v>
      </c>
      <c r="I53" s="6">
        <f>'Budget 2023-2024'!I53 *0.9</f>
        <v>64033.200000000004</v>
      </c>
      <c r="J53" s="6">
        <f>'Budget 2023-2024'!J53 *0.9</f>
        <v>17424</v>
      </c>
      <c r="K53" s="6">
        <f>'Budget 2023-2024'!K53 *0.9</f>
        <v>1742.4000000000003</v>
      </c>
      <c r="L53" s="6">
        <f>'Budget 2023-2024'!L53 *0.9</f>
        <v>140263.20000000001</v>
      </c>
      <c r="M53" s="6">
        <f>'Budget 2023-2024'!M53 *0.9</f>
        <v>0</v>
      </c>
      <c r="N53" s="6">
        <f>'Budget 2023-2024'!N53 *0.9</f>
        <v>40728.600000000006</v>
      </c>
    </row>
    <row r="54" spans="1:14" x14ac:dyDescent="0.3">
      <c r="A54" s="1" t="s">
        <v>52</v>
      </c>
      <c r="B54" s="3">
        <v>57</v>
      </c>
      <c r="C54" s="6">
        <f>'Budget 2023-2024'!C54 *0.9</f>
        <v>3088.8000000000006</v>
      </c>
      <c r="D54" s="6">
        <f>'Budget 2023-2024'!D54 *0.9</f>
        <v>0</v>
      </c>
      <c r="E54" s="6">
        <f>'Budget 2023-2024'!E54 *0.9</f>
        <v>0</v>
      </c>
      <c r="F54" s="6">
        <f>'Budget 2023-2024'!F54 *0.9</f>
        <v>6177.6000000000013</v>
      </c>
      <c r="G54" s="6">
        <f>'Budget 2023-2024'!G54 *0.9</f>
        <v>2162.1600000000003</v>
      </c>
      <c r="H54" s="6">
        <f>'Budget 2023-2024'!H54 *0.9</f>
        <v>0</v>
      </c>
      <c r="I54" s="6">
        <f>'Budget 2023-2024'!I54 *0.9</f>
        <v>9884.1600000000017</v>
      </c>
      <c r="J54" s="6">
        <f>'Budget 2023-2024'!J54 *0.9</f>
        <v>3088.8000000000006</v>
      </c>
      <c r="K54" s="6">
        <f>'Budget 2023-2024'!K54 *0.9</f>
        <v>6949.8000000000011</v>
      </c>
      <c r="L54" s="6">
        <f>'Budget 2023-2024'!L54 *0.9</f>
        <v>7413.1200000000008</v>
      </c>
      <c r="M54" s="6">
        <f>'Budget 2023-2024'!M54 *0.9</f>
        <v>0</v>
      </c>
      <c r="N54" s="6">
        <f>'Budget 2023-2024'!N54 *0.9</f>
        <v>3397.6800000000007</v>
      </c>
    </row>
    <row r="55" spans="1:14" x14ac:dyDescent="0.3">
      <c r="A55" s="1" t="s">
        <v>53</v>
      </c>
      <c r="B55" s="3">
        <v>75</v>
      </c>
      <c r="C55" s="6">
        <f>'Budget 2023-2024'!C55 *0.9</f>
        <v>4296.6000000000004</v>
      </c>
      <c r="D55" s="6">
        <f>'Budget 2023-2024'!D55 *0.9</f>
        <v>613.80000000000007</v>
      </c>
      <c r="E55" s="6">
        <f>'Budget 2023-2024'!E55 *0.9</f>
        <v>3375.9000000000005</v>
      </c>
      <c r="F55" s="6">
        <f>'Budget 2023-2024'!F55 *0.9</f>
        <v>2577.96</v>
      </c>
      <c r="G55" s="6">
        <f>'Budget 2023-2024'!G55 *0.9</f>
        <v>1227.6000000000001</v>
      </c>
      <c r="H55" s="6">
        <f>'Budget 2023-2024'!H55 *0.9</f>
        <v>7181.4600000000009</v>
      </c>
      <c r="I55" s="6">
        <f>'Budget 2023-2024'!I55 *0.9</f>
        <v>1227.6000000000001</v>
      </c>
      <c r="J55" s="6">
        <f>'Budget 2023-2024'!J55 *0.9</f>
        <v>8224.9200000000019</v>
      </c>
      <c r="K55" s="6">
        <f>'Budget 2023-2024'!K55 *0.9</f>
        <v>13319.460000000001</v>
      </c>
      <c r="L55" s="6">
        <f>'Budget 2023-2024'!L55 *0.9</f>
        <v>1841.4000000000003</v>
      </c>
      <c r="M55" s="6">
        <f>'Budget 2023-2024'!M55 *0.9</f>
        <v>245.52</v>
      </c>
      <c r="N55" s="6">
        <f>'Budget 2023-2024'!N55 *0.9</f>
        <v>4726.26</v>
      </c>
    </row>
    <row r="56" spans="1:14" x14ac:dyDescent="0.3">
      <c r="A56" s="1" t="s">
        <v>54</v>
      </c>
      <c r="B56" s="3">
        <v>73</v>
      </c>
      <c r="C56" s="6">
        <f>'Budget 2023-2024'!C56 *0.9</f>
        <v>3564.0000000000005</v>
      </c>
      <c r="D56" s="6">
        <f>'Budget 2023-2024'!D56 *0.9</f>
        <v>4158</v>
      </c>
      <c r="E56" s="6">
        <f>'Budget 2023-2024'!E56 *0.9</f>
        <v>5940.0000000000009</v>
      </c>
      <c r="F56" s="6">
        <f>'Budget 2023-2024'!F56 *0.9</f>
        <v>5940.0000000000009</v>
      </c>
      <c r="G56" s="6">
        <f>'Budget 2023-2024'!G56 *0.9</f>
        <v>1782.0000000000002</v>
      </c>
      <c r="H56" s="6">
        <f>'Budget 2023-2024'!H56 *0.9</f>
        <v>0</v>
      </c>
      <c r="I56" s="6">
        <f>'Budget 2023-2024'!I56 *0.9</f>
        <v>0</v>
      </c>
      <c r="J56" s="6">
        <f>'Budget 2023-2024'!J56 *0.9</f>
        <v>1188</v>
      </c>
      <c r="K56" s="6">
        <f>'Budget 2023-2024'!K56 *0.9</f>
        <v>0</v>
      </c>
      <c r="L56" s="6">
        <f>'Budget 2023-2024'!L56 *0.9</f>
        <v>0</v>
      </c>
      <c r="M56" s="6">
        <f>'Budget 2023-2024'!M56 *0.9</f>
        <v>237.6</v>
      </c>
      <c r="N56" s="6">
        <f>'Budget 2023-2024'!N56 *0.9</f>
        <v>3920.400000000001</v>
      </c>
    </row>
    <row r="57" spans="1:14" x14ac:dyDescent="0.3">
      <c r="A57" s="1" t="s">
        <v>55</v>
      </c>
      <c r="B57" s="3">
        <v>45</v>
      </c>
      <c r="C57" s="6">
        <f>'Budget 2023-2024'!C57 *0.9</f>
        <v>0</v>
      </c>
      <c r="D57" s="6">
        <f>'Budget 2023-2024'!D57 *0.9</f>
        <v>1504.8000000000002</v>
      </c>
      <c r="E57" s="6">
        <f>'Budget 2023-2024'!E57 *0.9</f>
        <v>0</v>
      </c>
      <c r="F57" s="6">
        <f>'Budget 2023-2024'!F57 *0.9</f>
        <v>8276.4</v>
      </c>
      <c r="G57" s="6">
        <f>'Budget 2023-2024'!G57 *0.9</f>
        <v>6320.1600000000008</v>
      </c>
      <c r="H57" s="6">
        <f>'Budget 2023-2024'!H57 *0.9</f>
        <v>2031.4800000000002</v>
      </c>
      <c r="I57" s="6">
        <f>'Budget 2023-2024'!I57 *0.9</f>
        <v>2708.6400000000003</v>
      </c>
      <c r="J57" s="6">
        <f>'Budget 2023-2024'!J57 *0.9</f>
        <v>1128.6000000000001</v>
      </c>
      <c r="K57" s="6">
        <f>'Budget 2023-2024'!K57 *0.9</f>
        <v>2257.2000000000003</v>
      </c>
      <c r="L57" s="6">
        <f>'Budget 2023-2024'!L57 *0.9</f>
        <v>1504.8000000000002</v>
      </c>
      <c r="M57" s="6">
        <f>'Budget 2023-2024'!M57 *0.9</f>
        <v>0</v>
      </c>
      <c r="N57" s="6">
        <f>'Budget 2023-2024'!N57 *0.9</f>
        <v>0</v>
      </c>
    </row>
    <row r="58" spans="1:14" x14ac:dyDescent="0.3">
      <c r="A58" s="1" t="s">
        <v>56</v>
      </c>
      <c r="B58" s="3">
        <v>28</v>
      </c>
      <c r="C58" s="6">
        <f>'Budget 2023-2024'!C58 *0.9</f>
        <v>0</v>
      </c>
      <c r="D58" s="6">
        <f>'Budget 2023-2024'!D58 *0.9</f>
        <v>10834.560000000001</v>
      </c>
      <c r="E58" s="6">
        <f>'Budget 2023-2024'!E58 *0.9</f>
        <v>0</v>
      </c>
      <c r="F58" s="6">
        <f>'Budget 2023-2024'!F58 *0.9</f>
        <v>21669.120000000003</v>
      </c>
      <c r="G58" s="6">
        <f>'Budget 2023-2024'!G58 *0.9</f>
        <v>9028.8000000000011</v>
      </c>
      <c r="H58" s="6">
        <f>'Budget 2023-2024'!H58 *0.9</f>
        <v>8667.648000000001</v>
      </c>
      <c r="I58" s="6">
        <f>'Budget 2023-2024'!I58 *0.9</f>
        <v>0</v>
      </c>
      <c r="J58" s="6">
        <f>'Budget 2023-2024'!J58 *0.9</f>
        <v>1083.4560000000001</v>
      </c>
      <c r="K58" s="6">
        <f>'Budget 2023-2024'!K58 *0.9</f>
        <v>21669.120000000003</v>
      </c>
      <c r="L58" s="6">
        <f>'Budget 2023-2024'!L58 *0.9</f>
        <v>32503.680000000004</v>
      </c>
      <c r="M58" s="6">
        <f>'Budget 2023-2024'!M58 *0.9</f>
        <v>2889.2160000000003</v>
      </c>
      <c r="N58" s="6">
        <f>'Budget 2023-2024'!N58 *0.9</f>
        <v>0</v>
      </c>
    </row>
    <row r="59" spans="1:14" x14ac:dyDescent="0.3">
      <c r="A59" s="1" t="s">
        <v>57</v>
      </c>
      <c r="B59" s="3">
        <v>34</v>
      </c>
      <c r="C59" s="6">
        <f>'Budget 2023-2024'!C59 *0.9</f>
        <v>0</v>
      </c>
      <c r="D59" s="6">
        <f>'Budget 2023-2024'!D59 *0.9</f>
        <v>0</v>
      </c>
      <c r="E59" s="6">
        <f>'Budget 2023-2024'!E59 *0.9</f>
        <v>0</v>
      </c>
      <c r="F59" s="6">
        <f>'Budget 2023-2024'!F59 *0.9</f>
        <v>2882.88</v>
      </c>
      <c r="G59" s="6">
        <f>'Budget 2023-2024'!G59 *0.9</f>
        <v>3326.4000000000005</v>
      </c>
      <c r="H59" s="6">
        <f>'Budget 2023-2024'!H59 *0.9</f>
        <v>1108.8</v>
      </c>
      <c r="I59" s="6">
        <f>'Budget 2023-2024'!I59 *0.9</f>
        <v>0</v>
      </c>
      <c r="J59" s="6">
        <f>'Budget 2023-2024'!J59 *0.9</f>
        <v>1108.8</v>
      </c>
      <c r="K59" s="6">
        <f>'Budget 2023-2024'!K59 *0.9</f>
        <v>2217.6</v>
      </c>
      <c r="L59" s="6">
        <f>'Budget 2023-2024'!L59 *0.9</f>
        <v>19958.400000000001</v>
      </c>
      <c r="M59" s="6">
        <f>'Budget 2023-2024'!M59 *0.9</f>
        <v>3880.8</v>
      </c>
      <c r="N59" s="6">
        <f>'Budget 2023-2024'!N59 *0.9</f>
        <v>0</v>
      </c>
    </row>
    <row r="60" spans="1:14" x14ac:dyDescent="0.3">
      <c r="A60" s="1" t="s">
        <v>58</v>
      </c>
      <c r="B60" s="3">
        <v>27</v>
      </c>
      <c r="C60" s="6">
        <f>'Budget 2023-2024'!C60 *0.9</f>
        <v>17384.400000000001</v>
      </c>
      <c r="D60" s="6">
        <f>'Budget 2023-2024'!D60 *0.9</f>
        <v>0</v>
      </c>
      <c r="E60" s="6">
        <f>'Budget 2023-2024'!E60 *0.9</f>
        <v>0</v>
      </c>
      <c r="F60" s="6">
        <f>'Budget 2023-2024'!F60 *0.9</f>
        <v>0</v>
      </c>
      <c r="G60" s="6">
        <f>'Budget 2023-2024'!G60 *0.9</f>
        <v>0</v>
      </c>
      <c r="H60" s="6">
        <f>'Budget 2023-2024'!H60 *0.9</f>
        <v>13907.52</v>
      </c>
      <c r="I60" s="6">
        <f>'Budget 2023-2024'!I60 *0.9</f>
        <v>3476.88</v>
      </c>
      <c r="J60" s="6">
        <f>'Budget 2023-2024'!J60 *0.9</f>
        <v>0</v>
      </c>
      <c r="K60" s="6">
        <f>'Budget 2023-2024'!K60 *0.9</f>
        <v>19122.840000000004</v>
      </c>
      <c r="L60" s="6">
        <f>'Budget 2023-2024'!L60 *0.9</f>
        <v>0</v>
      </c>
      <c r="M60" s="6">
        <f>'Budget 2023-2024'!M60 *0.9</f>
        <v>0</v>
      </c>
      <c r="N60" s="6">
        <f>'Budget 2023-2024'!N60 *0.9</f>
        <v>19122.840000000004</v>
      </c>
    </row>
    <row r="61" spans="1:14" x14ac:dyDescent="0.3">
      <c r="A61" s="1" t="s">
        <v>59</v>
      </c>
      <c r="B61" s="3">
        <v>68</v>
      </c>
      <c r="C61" s="6">
        <f>'Budget 2023-2024'!C61 *0.9</f>
        <v>0</v>
      </c>
      <c r="D61" s="6">
        <f>'Budget 2023-2024'!D61 *0.9</f>
        <v>3267.0000000000005</v>
      </c>
      <c r="E61" s="6">
        <f>'Budget 2023-2024'!E61 *0.9</f>
        <v>990</v>
      </c>
      <c r="F61" s="6">
        <f>'Budget 2023-2024'!F61 *0.9</f>
        <v>8415</v>
      </c>
      <c r="G61" s="6">
        <f>'Budget 2023-2024'!G61 *0.9</f>
        <v>594</v>
      </c>
      <c r="H61" s="6">
        <f>'Budget 2023-2024'!H61 *0.9</f>
        <v>7227.0000000000009</v>
      </c>
      <c r="I61" s="6">
        <f>'Budget 2023-2024'!I61 *0.9</f>
        <v>4356</v>
      </c>
      <c r="J61" s="6">
        <f>'Budget 2023-2024'!J61 *0.9</f>
        <v>5742.0000000000009</v>
      </c>
      <c r="K61" s="6">
        <f>'Budget 2023-2024'!K61 *0.9</f>
        <v>7920</v>
      </c>
      <c r="L61" s="6">
        <f>'Budget 2023-2024'!L61 *0.9</f>
        <v>4356</v>
      </c>
      <c r="M61" s="6">
        <f>'Budget 2023-2024'!M61 *0.9</f>
        <v>5445.0000000000009</v>
      </c>
      <c r="N61" s="6">
        <f>'Budget 2023-2024'!N61 *0.9</f>
        <v>0</v>
      </c>
    </row>
    <row r="62" spans="1:14" x14ac:dyDescent="0.3">
      <c r="A62" s="1" t="s">
        <v>60</v>
      </c>
      <c r="B62" s="3">
        <v>42</v>
      </c>
      <c r="C62" s="6">
        <f>'Budget 2023-2024'!C62 *0.9</f>
        <v>11088.000000000002</v>
      </c>
      <c r="D62" s="6">
        <f>'Budget 2023-2024'!D62 *0.9</f>
        <v>2217.6</v>
      </c>
      <c r="E62" s="6">
        <f>'Budget 2023-2024'!E62 *0.9</f>
        <v>10644.480000000001</v>
      </c>
      <c r="F62" s="6">
        <f>'Budget 2023-2024'!F62 *0.9</f>
        <v>0</v>
      </c>
      <c r="G62" s="6">
        <f>'Budget 2023-2024'!G62 *0.9</f>
        <v>3104.6400000000003</v>
      </c>
      <c r="H62" s="6">
        <f>'Budget 2023-2024'!H62 *0.9</f>
        <v>3769.92</v>
      </c>
      <c r="I62" s="6">
        <f>'Budget 2023-2024'!I62 *0.9</f>
        <v>6874.56</v>
      </c>
      <c r="J62" s="6">
        <f>'Budget 2023-2024'!J62 *0.9</f>
        <v>2772.0000000000005</v>
      </c>
      <c r="K62" s="6">
        <f>'Budget 2023-2024'!K62 *0.9</f>
        <v>1108.8</v>
      </c>
      <c r="L62" s="6">
        <f>'Budget 2023-2024'!L62 *0.9</f>
        <v>12418.560000000001</v>
      </c>
      <c r="M62" s="6">
        <f>'Budget 2023-2024'!M62 *0.9</f>
        <v>0</v>
      </c>
      <c r="N62" s="6">
        <f>'Budget 2023-2024'!N62 *0.9</f>
        <v>12196.800000000003</v>
      </c>
    </row>
    <row r="63" spans="1:14" x14ac:dyDescent="0.3">
      <c r="A63" s="1" t="s">
        <v>61</v>
      </c>
      <c r="B63" s="3">
        <v>20</v>
      </c>
      <c r="C63" s="6">
        <f>'Budget 2023-2024'!C63 *0.9</f>
        <v>13471.920000000002</v>
      </c>
      <c r="D63" s="6">
        <f>'Budget 2023-2024'!D63 *0.9</f>
        <v>0</v>
      </c>
      <c r="E63" s="6">
        <f>'Budget 2023-2024'!E63 *0.9</f>
        <v>13471.920000000002</v>
      </c>
      <c r="F63" s="6">
        <f>'Budget 2023-2024'!F63 *0.9</f>
        <v>0</v>
      </c>
      <c r="G63" s="6">
        <f>'Budget 2023-2024'!G63 *0.9</f>
        <v>0</v>
      </c>
      <c r="H63" s="6">
        <f>'Budget 2023-2024'!H63 *0.9</f>
        <v>0</v>
      </c>
      <c r="I63" s="6">
        <f>'Budget 2023-2024'!I63 *0.9</f>
        <v>3207.6000000000004</v>
      </c>
      <c r="J63" s="6">
        <f>'Budget 2023-2024'!J63 *0.9</f>
        <v>12830.400000000001</v>
      </c>
      <c r="K63" s="6">
        <f>'Budget 2023-2024'!K63 *0.9</f>
        <v>44906.400000000009</v>
      </c>
      <c r="L63" s="6">
        <f>'Budget 2023-2024'!L63 *0.9</f>
        <v>9622.8000000000011</v>
      </c>
      <c r="M63" s="6">
        <f>'Budget 2023-2024'!M63 *0.9</f>
        <v>641.5200000000001</v>
      </c>
      <c r="N63" s="6">
        <f>'Budget 2023-2024'!N63 *0.9</f>
        <v>14819.112000000005</v>
      </c>
    </row>
    <row r="64" spans="1:14" x14ac:dyDescent="0.3">
      <c r="A64" s="1" t="s">
        <v>62</v>
      </c>
      <c r="B64" s="3">
        <v>21</v>
      </c>
      <c r="C64" s="6">
        <f>'Budget 2023-2024'!C64 *0.9</f>
        <v>1108.8</v>
      </c>
      <c r="D64" s="6">
        <f>'Budget 2023-2024'!D64 *0.9</f>
        <v>7682.4000000000005</v>
      </c>
      <c r="E64" s="6">
        <f>'Budget 2023-2024'!E64 *0.9</f>
        <v>5702.4000000000005</v>
      </c>
      <c r="F64" s="6">
        <f>'Budget 2023-2024'!F64 *0.9</f>
        <v>2930.4000000000005</v>
      </c>
      <c r="G64" s="6">
        <f>'Budget 2023-2024'!G64 *0.9</f>
        <v>5544.0000000000009</v>
      </c>
      <c r="H64" s="6">
        <f>'Budget 2023-2024'!H64 *0.9</f>
        <v>3168.0000000000005</v>
      </c>
      <c r="I64" s="6">
        <f>'Budget 2023-2024'!I64 *0.9</f>
        <v>3168.0000000000005</v>
      </c>
      <c r="J64" s="6">
        <f>'Budget 2023-2024'!J64 *0.9</f>
        <v>4752</v>
      </c>
      <c r="K64" s="6">
        <f>'Budget 2023-2024'!K64 *0.9</f>
        <v>11721.600000000002</v>
      </c>
      <c r="L64" s="6">
        <f>'Budget 2023-2024'!L64 *0.9</f>
        <v>8157.6</v>
      </c>
      <c r="M64" s="6">
        <f>'Budget 2023-2024'!M64 *0.9</f>
        <v>0</v>
      </c>
      <c r="N64" s="6">
        <f>'Budget 2023-2024'!N64 *0.9</f>
        <v>1219.68</v>
      </c>
    </row>
    <row r="65" spans="1:14" x14ac:dyDescent="0.3">
      <c r="A65" s="1" t="s">
        <v>63</v>
      </c>
      <c r="B65" s="3">
        <v>61</v>
      </c>
      <c r="C65" s="6">
        <f>'Budget 2023-2024'!C65 *0.9</f>
        <v>27086.400000000005</v>
      </c>
      <c r="D65" s="6">
        <f>'Budget 2023-2024'!D65 *0.9</f>
        <v>4514.4000000000005</v>
      </c>
      <c r="E65" s="6">
        <f>'Budget 2023-2024'!E65 *0.9</f>
        <v>0</v>
      </c>
      <c r="F65" s="6">
        <f>'Budget 2023-2024'!F65 *0.9</f>
        <v>3385.8000000000006</v>
      </c>
      <c r="G65" s="6">
        <f>'Budget 2023-2024'!G65 *0.9</f>
        <v>4514.4000000000005</v>
      </c>
      <c r="H65" s="6">
        <f>'Budget 2023-2024'!H65 *0.9</f>
        <v>4514.4000000000005</v>
      </c>
      <c r="I65" s="6">
        <f>'Budget 2023-2024'!I65 *0.9</f>
        <v>6771.6000000000013</v>
      </c>
      <c r="J65" s="6">
        <f>'Budget 2023-2024'!J65 *0.9</f>
        <v>11286.000000000002</v>
      </c>
      <c r="K65" s="6">
        <f>'Budget 2023-2024'!K65 *0.9</f>
        <v>6771.6000000000013</v>
      </c>
      <c r="L65" s="6">
        <f>'Budget 2023-2024'!L65 *0.9</f>
        <v>21894.840000000004</v>
      </c>
      <c r="M65" s="6">
        <f>'Budget 2023-2024'!M65 *0.9</f>
        <v>0</v>
      </c>
      <c r="N65" s="6">
        <f>'Budget 2023-2024'!N65 *0.9</f>
        <v>29795.040000000005</v>
      </c>
    </row>
    <row r="66" spans="1:14" x14ac:dyDescent="0.3">
      <c r="A66" s="1" t="s">
        <v>64</v>
      </c>
      <c r="B66" s="3">
        <v>46</v>
      </c>
      <c r="C66" s="6">
        <f>'Budget 2023-2024'!C66 *0.9</f>
        <v>0</v>
      </c>
      <c r="D66" s="6">
        <f>'Budget 2023-2024'!D66 *0.9</f>
        <v>1995.8400000000004</v>
      </c>
      <c r="E66" s="6">
        <f>'Budget 2023-2024'!E66 *0.9</f>
        <v>9979.2000000000007</v>
      </c>
      <c r="F66" s="6">
        <f>'Budget 2023-2024'!F66 *0.9</f>
        <v>3991.6800000000007</v>
      </c>
      <c r="G66" s="6">
        <f>'Budget 2023-2024'!G66 *0.9</f>
        <v>2661.1200000000003</v>
      </c>
      <c r="H66" s="6">
        <f>'Budget 2023-2024'!H66 *0.9</f>
        <v>0</v>
      </c>
      <c r="I66" s="6">
        <f>'Budget 2023-2024'!I66 *0.9</f>
        <v>3326.4000000000005</v>
      </c>
      <c r="J66" s="6">
        <f>'Budget 2023-2024'!J66 *0.9</f>
        <v>1995.8400000000004</v>
      </c>
      <c r="K66" s="6">
        <f>'Budget 2023-2024'!K66 *0.9</f>
        <v>2280.96</v>
      </c>
      <c r="L66" s="6">
        <f>'Budget 2023-2024'!L66 *0.9</f>
        <v>4561.92</v>
      </c>
      <c r="M66" s="6">
        <f>'Budget 2023-2024'!M66 *0.9</f>
        <v>3136.32</v>
      </c>
      <c r="N66" s="6">
        <f>'Budget 2023-2024'!N66 *0.9</f>
        <v>0</v>
      </c>
    </row>
    <row r="67" spans="1:14" x14ac:dyDescent="0.3">
      <c r="A67" s="1" t="s">
        <v>65</v>
      </c>
      <c r="B67" s="3">
        <v>35</v>
      </c>
      <c r="C67" s="6">
        <f>'Budget 2023-2024'!C67 *0.9</f>
        <v>7698.2400000000007</v>
      </c>
      <c r="D67" s="6">
        <f>'Budget 2023-2024'!D67 *0.9</f>
        <v>4276.8</v>
      </c>
      <c r="E67" s="6">
        <f>'Budget 2023-2024'!E67 *0.9</f>
        <v>0</v>
      </c>
      <c r="F67" s="6">
        <f>'Budget 2023-2024'!F67 *0.9</f>
        <v>4276.8</v>
      </c>
      <c r="G67" s="6">
        <f>'Budget 2023-2024'!G67 *0.9</f>
        <v>4989.6000000000004</v>
      </c>
      <c r="H67" s="6">
        <f>'Budget 2023-2024'!H67 *0.9</f>
        <v>2138.4</v>
      </c>
      <c r="I67" s="6">
        <f>'Budget 2023-2024'!I67 *0.9</f>
        <v>8411.0400000000009</v>
      </c>
      <c r="J67" s="6">
        <f>'Budget 2023-2024'!J67 *0.9</f>
        <v>5274.72</v>
      </c>
      <c r="K67" s="6">
        <f>'Budget 2023-2024'!K67 *0.9</f>
        <v>7128.0000000000009</v>
      </c>
      <c r="L67" s="6">
        <f>'Budget 2023-2024'!L67 *0.9</f>
        <v>16679.520000000004</v>
      </c>
      <c r="M67" s="6">
        <f>'Budget 2023-2024'!M67 *0.9</f>
        <v>0</v>
      </c>
      <c r="N67" s="6">
        <f>'Budget 2023-2024'!N67 *0.9</f>
        <v>8468.0640000000003</v>
      </c>
    </row>
    <row r="68" spans="1:14" x14ac:dyDescent="0.3">
      <c r="A68" s="1" t="s">
        <v>66</v>
      </c>
      <c r="B68" s="3">
        <v>62</v>
      </c>
      <c r="C68" s="6">
        <f>'Budget 2023-2024'!C68 *0.9</f>
        <v>7809.1200000000008</v>
      </c>
      <c r="D68" s="6">
        <f>'Budget 2023-2024'!D68 *0.9</f>
        <v>37093.320000000007</v>
      </c>
      <c r="E68" s="6">
        <f>'Budget 2023-2024'!E68 *0.9</f>
        <v>3904.5600000000004</v>
      </c>
      <c r="F68" s="6">
        <f>'Budget 2023-2024'!F68 *0.9</f>
        <v>26551.008000000002</v>
      </c>
      <c r="G68" s="6">
        <f>'Budget 2023-2024'!G68 *0.9</f>
        <v>15227.784000000001</v>
      </c>
      <c r="H68" s="6">
        <f>'Budget 2023-2024'!H68 *0.9</f>
        <v>16399.152000000002</v>
      </c>
      <c r="I68" s="6">
        <f>'Budget 2023-2024'!I68 *0.9</f>
        <v>39436.056000000004</v>
      </c>
      <c r="J68" s="6">
        <f>'Budget 2023-2024'!J68 *0.9</f>
        <v>23817.816000000006</v>
      </c>
      <c r="K68" s="6">
        <f>'Budget 2023-2024'!K68 *0.9</f>
        <v>60911.136000000006</v>
      </c>
      <c r="L68" s="6">
        <f>'Budget 2023-2024'!L68 *0.9</f>
        <v>12885.048000000001</v>
      </c>
      <c r="M68" s="6">
        <f>'Budget 2023-2024'!M68 *0.9</f>
        <v>0</v>
      </c>
      <c r="N68" s="6">
        <f>'Budget 2023-2024'!N68 *0.9</f>
        <v>8590.0320000000011</v>
      </c>
    </row>
    <row r="69" spans="1:14" x14ac:dyDescent="0.3">
      <c r="A69" s="1" t="s">
        <v>67</v>
      </c>
      <c r="B69" s="3">
        <v>19</v>
      </c>
      <c r="C69" s="6">
        <f>'Budget 2023-2024'!C69 *0.9</f>
        <v>0</v>
      </c>
      <c r="D69" s="6">
        <f>'Budget 2023-2024'!D69 *0.9</f>
        <v>3643.2000000000003</v>
      </c>
      <c r="E69" s="6">
        <f>'Budget 2023-2024'!E69 *0.9</f>
        <v>3570.3359999999998</v>
      </c>
      <c r="F69" s="6">
        <f>'Budget 2023-2024'!F69 *0.9</f>
        <v>1748.7360000000001</v>
      </c>
      <c r="G69" s="6">
        <f>'Budget 2023-2024'!G69 *0.9</f>
        <v>0</v>
      </c>
      <c r="H69" s="6">
        <f>'Budget 2023-2024'!H69 *0.9</f>
        <v>5391.9359999999997</v>
      </c>
      <c r="I69" s="6">
        <f>'Budget 2023-2024'!I69 *0.9</f>
        <v>2113.056</v>
      </c>
      <c r="J69" s="6">
        <f>'Budget 2023-2024'!J69 *0.9</f>
        <v>2695.9679999999998</v>
      </c>
      <c r="K69" s="6">
        <f>'Budget 2023-2024'!K69 *0.9</f>
        <v>1384.4160000000002</v>
      </c>
      <c r="L69" s="6">
        <f>'Budget 2023-2024'!L69 *0.9</f>
        <v>6193.4400000000005</v>
      </c>
      <c r="M69" s="6">
        <f>'Budget 2023-2024'!M69 *0.9</f>
        <v>3788.9280000000003</v>
      </c>
      <c r="N69" s="6">
        <f>'Budget 2023-2024'!N69 *0.9</f>
        <v>0</v>
      </c>
    </row>
    <row r="70" spans="1:14" x14ac:dyDescent="0.3">
      <c r="A70" s="1" t="s">
        <v>68</v>
      </c>
      <c r="B70" s="3">
        <v>29</v>
      </c>
      <c r="C70" s="6">
        <f>'Budget 2023-2024'!C70 *0.9</f>
        <v>0</v>
      </c>
      <c r="D70" s="6">
        <f>'Budget 2023-2024'!D70 *0.9</f>
        <v>25490.836800000001</v>
      </c>
      <c r="E70" s="6">
        <f>'Budget 2023-2024'!E70 *0.9</f>
        <v>45099.1728</v>
      </c>
      <c r="F70" s="6">
        <f>'Budget 2023-2024'!F70 *0.9</f>
        <v>50981.673600000002</v>
      </c>
      <c r="G70" s="6">
        <f>'Budget 2023-2024'!G70 *0.9</f>
        <v>0</v>
      </c>
      <c r="H70" s="6">
        <f>'Budget 2023-2024'!H70 *0.9</f>
        <v>70590.009600000019</v>
      </c>
      <c r="I70" s="6">
        <f>'Budget 2023-2024'!I70 *0.9</f>
        <v>17647.502400000001</v>
      </c>
      <c r="J70" s="6">
        <f>'Budget 2023-2024'!J70 *0.9</f>
        <v>160788.35520000002</v>
      </c>
      <c r="K70" s="6">
        <f>'Budget 2023-2024'!K70 *0.9</f>
        <v>13725.8352</v>
      </c>
      <c r="L70" s="6">
        <f>'Budget 2023-2024'!L70 *0.9</f>
        <v>119610.84960000002</v>
      </c>
      <c r="M70" s="6">
        <f>'Budget 2023-2024'!M70 *0.9</f>
        <v>0</v>
      </c>
      <c r="N70" s="6">
        <f>'Budget 2023-2024'!N70 *0.9</f>
        <v>0</v>
      </c>
    </row>
    <row r="71" spans="1:14" x14ac:dyDescent="0.3">
      <c r="A71" s="1" t="s">
        <v>69</v>
      </c>
      <c r="B71" s="3">
        <v>14</v>
      </c>
      <c r="C71" s="6">
        <f>'Budget 2023-2024'!C71 *0.9</f>
        <v>0</v>
      </c>
      <c r="D71" s="6">
        <f>'Budget 2023-2024'!D71 *0.9</f>
        <v>4419.3600000000006</v>
      </c>
      <c r="E71" s="6">
        <f>'Budget 2023-2024'!E71 *0.9</f>
        <v>6076.62</v>
      </c>
      <c r="F71" s="6">
        <f>'Budget 2023-2024'!F71 *0.9</f>
        <v>0</v>
      </c>
      <c r="G71" s="6">
        <f>'Budget 2023-2024'!G71 *0.9</f>
        <v>3866.9400000000005</v>
      </c>
      <c r="H71" s="6">
        <f>'Budget 2023-2024'!H71 *0.9</f>
        <v>2762.1000000000004</v>
      </c>
      <c r="I71" s="6">
        <f>'Budget 2023-2024'!I71 *0.9</f>
        <v>0</v>
      </c>
      <c r="J71" s="6">
        <f>'Budget 2023-2024'!J71 *0.9</f>
        <v>0</v>
      </c>
      <c r="K71" s="6">
        <f>'Budget 2023-2024'!K71 *0.9</f>
        <v>0</v>
      </c>
      <c r="L71" s="6">
        <f>'Budget 2023-2024'!L71 *0.9</f>
        <v>0</v>
      </c>
      <c r="M71" s="6">
        <f>'Budget 2023-2024'!M71 *0.9</f>
        <v>3866.9400000000005</v>
      </c>
      <c r="N71" s="6">
        <f>'Budget 2023-2024'!N71 *0.9</f>
        <v>0</v>
      </c>
    </row>
    <row r="72" spans="1:14" x14ac:dyDescent="0.3">
      <c r="A72" s="1" t="s">
        <v>70</v>
      </c>
      <c r="B72" s="3">
        <v>54</v>
      </c>
      <c r="C72" s="6">
        <f>'Budget 2023-2024'!C72 *0.9</f>
        <v>3186.2160000000003</v>
      </c>
      <c r="D72" s="6">
        <f>'Budget 2023-2024'!D72 *0.9</f>
        <v>1770.1200000000001</v>
      </c>
      <c r="E72" s="6">
        <f>'Budget 2023-2024'!E72 *0.9</f>
        <v>2124.1440000000002</v>
      </c>
      <c r="F72" s="6">
        <f>'Budget 2023-2024'!F72 *0.9</f>
        <v>6785.4600000000009</v>
      </c>
      <c r="G72" s="6">
        <f>'Budget 2023-2024'!G72 *0.9</f>
        <v>0</v>
      </c>
      <c r="H72" s="6">
        <f>'Budget 2023-2024'!H72 *0.9</f>
        <v>1121.076</v>
      </c>
      <c r="I72" s="6">
        <f>'Budget 2023-2024'!I72 *0.9</f>
        <v>2065.1400000000003</v>
      </c>
      <c r="J72" s="6">
        <f>'Budget 2023-2024'!J72 *0.9</f>
        <v>2478.1680000000001</v>
      </c>
      <c r="K72" s="6">
        <f>'Budget 2023-2024'!K72 *0.9</f>
        <v>0</v>
      </c>
      <c r="L72" s="6">
        <f>'Budget 2023-2024'!L72 *0.9</f>
        <v>590.04000000000008</v>
      </c>
      <c r="M72" s="6">
        <f>'Budget 2023-2024'!M72 *0.9</f>
        <v>1180.0800000000002</v>
      </c>
      <c r="N72" s="6">
        <f>'Budget 2023-2024'!N72 *0.9</f>
        <v>3504.8376000000007</v>
      </c>
    </row>
    <row r="73" spans="1:14" x14ac:dyDescent="0.3">
      <c r="A73" s="1" t="s">
        <v>71</v>
      </c>
      <c r="B73" s="3">
        <v>23</v>
      </c>
      <c r="C73" s="6">
        <f>'Budget 2023-2024'!C73 *0.9</f>
        <v>0</v>
      </c>
      <c r="D73" s="6">
        <f>'Budget 2023-2024'!D73 *0.9</f>
        <v>855.36000000000013</v>
      </c>
      <c r="E73" s="6">
        <f>'Budget 2023-2024'!E73 *0.9</f>
        <v>2637.36</v>
      </c>
      <c r="F73" s="6">
        <f>'Budget 2023-2024'!F73 *0.9</f>
        <v>0</v>
      </c>
      <c r="G73" s="6">
        <f>'Budget 2023-2024'!G73 *0.9</f>
        <v>3136.32</v>
      </c>
      <c r="H73" s="6">
        <f>'Budget 2023-2024'!H73 *0.9</f>
        <v>0</v>
      </c>
      <c r="I73" s="6">
        <f>'Budget 2023-2024'!I73 *0.9</f>
        <v>6272.64</v>
      </c>
      <c r="J73" s="6">
        <f>'Budget 2023-2024'!J73 *0.9</f>
        <v>5702.4000000000005</v>
      </c>
      <c r="K73" s="6">
        <f>'Budget 2023-2024'!K73 *0.9</f>
        <v>570.24</v>
      </c>
      <c r="L73" s="6">
        <f>'Budget 2023-2024'!L73 *0.9</f>
        <v>712.80000000000007</v>
      </c>
      <c r="M73" s="6">
        <f>'Budget 2023-2024'!M73 *0.9</f>
        <v>142.56</v>
      </c>
      <c r="N73" s="6">
        <f>'Budget 2023-2024'!N73 *0.9</f>
        <v>0</v>
      </c>
    </row>
    <row r="74" spans="1:14" x14ac:dyDescent="0.3">
      <c r="A74" s="1" t="s">
        <v>72</v>
      </c>
      <c r="B74" s="3">
        <v>7</v>
      </c>
      <c r="C74" s="6">
        <f>'Budget 2023-2024'!C74 *0.9</f>
        <v>13068.000000000002</v>
      </c>
      <c r="D74" s="6">
        <f>'Budget 2023-2024'!D74 *0.9</f>
        <v>8316</v>
      </c>
      <c r="E74" s="6">
        <f>'Budget 2023-2024'!E74 *0.9</f>
        <v>0</v>
      </c>
      <c r="F74" s="6">
        <f>'Budget 2023-2024'!F74 *0.9</f>
        <v>21384.000000000004</v>
      </c>
      <c r="G74" s="6">
        <f>'Budget 2023-2024'!G74 *0.9</f>
        <v>0</v>
      </c>
      <c r="H74" s="6">
        <f>'Budget 2023-2024'!H74 *0.9</f>
        <v>9028.8000000000011</v>
      </c>
      <c r="I74" s="6">
        <f>'Budget 2023-2024'!I74 *0.9</f>
        <v>5940.0000000000009</v>
      </c>
      <c r="J74" s="6">
        <f>'Budget 2023-2024'!J74 *0.9</f>
        <v>7603.2</v>
      </c>
      <c r="K74" s="6">
        <f>'Budget 2023-2024'!K74 *0.9</f>
        <v>51559.200000000004</v>
      </c>
      <c r="L74" s="6">
        <f>'Budget 2023-2024'!L74 *0.9</f>
        <v>29462.400000000005</v>
      </c>
      <c r="M74" s="6">
        <f>'Budget 2023-2024'!M74 *0.9</f>
        <v>3801.6</v>
      </c>
      <c r="N74" s="6">
        <f>'Budget 2023-2024'!N74 *0.9</f>
        <v>14374.800000000003</v>
      </c>
    </row>
    <row r="75" spans="1:14" x14ac:dyDescent="0.3">
      <c r="A75" s="1" t="s">
        <v>73</v>
      </c>
      <c r="B75" s="3">
        <v>50</v>
      </c>
      <c r="C75" s="6">
        <f>'Budget 2023-2024'!C75 *0.9</f>
        <v>0</v>
      </c>
      <c r="D75" s="6">
        <f>'Budget 2023-2024'!D75 *0.9</f>
        <v>3217.5000000000005</v>
      </c>
      <c r="E75" s="6">
        <f>'Budget 2023-2024'!E75 *0.9</f>
        <v>0</v>
      </c>
      <c r="F75" s="6">
        <f>'Budget 2023-2024'!F75 *0.9</f>
        <v>0</v>
      </c>
      <c r="G75" s="6">
        <f>'Budget 2023-2024'!G75 *0.9</f>
        <v>7722</v>
      </c>
      <c r="H75" s="6">
        <f>'Budget 2023-2024'!H75 *0.9</f>
        <v>0</v>
      </c>
      <c r="I75" s="6">
        <f>'Budget 2023-2024'!I75 *0.9</f>
        <v>0</v>
      </c>
      <c r="J75" s="6">
        <f>'Budget 2023-2024'!J75 *0.9</f>
        <v>0</v>
      </c>
      <c r="K75" s="6">
        <f>'Budget 2023-2024'!K75 *0.9</f>
        <v>4247.1000000000004</v>
      </c>
      <c r="L75" s="6">
        <f>'Budget 2023-2024'!L75 *0.9</f>
        <v>0</v>
      </c>
      <c r="M75" s="6">
        <f>'Budget 2023-2024'!M75 *0.9</f>
        <v>2831.4000000000005</v>
      </c>
      <c r="N75" s="6">
        <f>'Budget 2023-2024'!N75 *0.9</f>
        <v>0</v>
      </c>
    </row>
    <row r="76" spans="1:14" x14ac:dyDescent="0.3">
      <c r="A76" s="1" t="s">
        <v>74</v>
      </c>
      <c r="B76" s="3">
        <v>63</v>
      </c>
      <c r="C76" s="6">
        <f>'Budget 2023-2024'!C76 *0.9</f>
        <v>8344.5120000000006</v>
      </c>
      <c r="D76" s="6">
        <f>'Budget 2023-2024'!D76 *0.9</f>
        <v>0</v>
      </c>
      <c r="E76" s="6">
        <f>'Budget 2023-2024'!E76 *0.9</f>
        <v>0</v>
      </c>
      <c r="F76" s="6">
        <f>'Budget 2023-2024'!F76 *0.9</f>
        <v>6953.76</v>
      </c>
      <c r="G76" s="6">
        <f>'Budget 2023-2024'!G76 *0.9</f>
        <v>3129.1920000000005</v>
      </c>
      <c r="H76" s="6">
        <f>'Budget 2023-2024'!H76 *0.9</f>
        <v>10430.640000000001</v>
      </c>
      <c r="I76" s="6">
        <f>'Budget 2023-2024'!I76 *0.9</f>
        <v>0</v>
      </c>
      <c r="J76" s="6">
        <f>'Budget 2023-2024'!J76 *0.9</f>
        <v>0</v>
      </c>
      <c r="K76" s="6">
        <f>'Budget 2023-2024'!K76 *0.9</f>
        <v>36507.240000000005</v>
      </c>
      <c r="L76" s="6">
        <f>'Budget 2023-2024'!L76 *0.9</f>
        <v>14602.896000000001</v>
      </c>
      <c r="M76" s="6">
        <f>'Budget 2023-2024'!M76 *0.9</f>
        <v>0</v>
      </c>
      <c r="N76" s="6">
        <f>'Budget 2023-2024'!N76 *0.9</f>
        <v>9178.963200000002</v>
      </c>
    </row>
    <row r="77" spans="1:14" x14ac:dyDescent="0.3">
      <c r="A77" s="1" t="s">
        <v>75</v>
      </c>
      <c r="B77" s="3">
        <v>64</v>
      </c>
      <c r="C77" s="6">
        <f>'Budget 2023-2024'!C77 *0.9</f>
        <v>0</v>
      </c>
      <c r="D77" s="6">
        <f>'Budget 2023-2024'!D77 *0.9</f>
        <v>2370.06</v>
      </c>
      <c r="E77" s="6">
        <f>'Budget 2023-2024'!E77 *0.9</f>
        <v>11323.62</v>
      </c>
      <c r="F77" s="6">
        <f>'Budget 2023-2024'!F77 *0.9</f>
        <v>0</v>
      </c>
      <c r="G77" s="6">
        <f>'Budget 2023-2024'!G77 *0.9</f>
        <v>6320.1600000000008</v>
      </c>
      <c r="H77" s="6">
        <f>'Budget 2023-2024'!H77 *0.9</f>
        <v>9216.9</v>
      </c>
      <c r="I77" s="6">
        <f>'Budget 2023-2024'!I77 *0.9</f>
        <v>29230.74</v>
      </c>
      <c r="J77" s="6">
        <f>'Budget 2023-2024'!J77 *0.9</f>
        <v>9216.9</v>
      </c>
      <c r="K77" s="6">
        <f>'Budget 2023-2024'!K77 *0.9</f>
        <v>3160.0800000000004</v>
      </c>
      <c r="L77" s="6">
        <f>'Budget 2023-2024'!L77 *0.9</f>
        <v>11850.300000000001</v>
      </c>
      <c r="M77" s="6">
        <f>'Budget 2023-2024'!M77 *0.9</f>
        <v>34760.880000000005</v>
      </c>
      <c r="N77" s="6">
        <f>'Budget 2023-2024'!N77 *0.9</f>
        <v>0</v>
      </c>
    </row>
    <row r="78" spans="1:14" x14ac:dyDescent="0.3">
      <c r="A78" s="1" t="s">
        <v>76</v>
      </c>
      <c r="B78" s="3">
        <v>47</v>
      </c>
      <c r="C78" s="6">
        <f>'Budget 2023-2024'!C78 *0.9</f>
        <v>1128.6000000000001</v>
      </c>
      <c r="D78" s="6">
        <f>'Budget 2023-2024'!D78 *0.9</f>
        <v>0</v>
      </c>
      <c r="E78" s="6">
        <f>'Budget 2023-2024'!E78 *0.9</f>
        <v>5342.0400000000009</v>
      </c>
      <c r="F78" s="6">
        <f>'Budget 2023-2024'!F78 *0.9</f>
        <v>5041.0800000000008</v>
      </c>
      <c r="G78" s="6">
        <f>'Budget 2023-2024'!G78 *0.9</f>
        <v>2257.2000000000003</v>
      </c>
      <c r="H78" s="6">
        <f>'Budget 2023-2024'!H78 *0.9</f>
        <v>2257.2000000000003</v>
      </c>
      <c r="I78" s="6">
        <f>'Budget 2023-2024'!I78 *0.9</f>
        <v>3009.6000000000004</v>
      </c>
      <c r="J78" s="6">
        <f>'Budget 2023-2024'!J78 *0.9</f>
        <v>1580.0400000000002</v>
      </c>
      <c r="K78" s="6">
        <f>'Budget 2023-2024'!K78 *0.9</f>
        <v>3686.7600000000007</v>
      </c>
      <c r="L78" s="6">
        <f>'Budget 2023-2024'!L78 *0.9</f>
        <v>0</v>
      </c>
      <c r="M78" s="6">
        <f>'Budget 2023-2024'!M78 *0.9</f>
        <v>0</v>
      </c>
      <c r="N78" s="6">
        <f>'Budget 2023-2024'!N78 *0.9</f>
        <v>1241.46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 2023-2024</vt:lpstr>
      <vt:lpstr>Budget 2022-2023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Ulrika Da Silva</cp:lastModifiedBy>
  <dcterms:created xsi:type="dcterms:W3CDTF">2023-11-24T15:38:19Z</dcterms:created>
  <dcterms:modified xsi:type="dcterms:W3CDTF">2024-03-08T09:51:57Z</dcterms:modified>
</cp:coreProperties>
</file>